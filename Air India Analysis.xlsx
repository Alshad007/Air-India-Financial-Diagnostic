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" sheetId="2" state="visible" r:id="rId4"/>
    <sheet name="Scenario Analysis" sheetId="3" state="visible" r:id="rId5"/>
    <sheet name="Dashboard" sheetId="4" state="visible" r:id="rId6"/>
    <sheet name="IndiGo 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<sst xmlns="http://schemas.openxmlformats.org/spreadsheetml/2006/main" count="272" uniqueCount="180">
  <si>
    <t xml:space="preserve">Air India — Financial &amp; Operational Raw Data  |  Source: Annual Report FY2024</t>
  </si>
  <si>
    <t xml:space="preserve">All financial figures in ₹ Millions (standalone) unless noted  |  Blue = hardcoded input</t>
  </si>
  <si>
    <t xml:space="preserve">Particulars</t>
  </si>
  <si>
    <t xml:space="preserve">Unit</t>
  </si>
  <si>
    <t xml:space="preserve">FY2024</t>
  </si>
  <si>
    <t xml:space="preserve">FY2023</t>
  </si>
  <si>
    <t xml:space="preserve">YoY Change</t>
  </si>
  <si>
    <t xml:space="preserve">YoY %</t>
  </si>
  <si>
    <t xml:space="preserve">FINANCIAL PERFORMANCE (Standalone — Air India Ltd only)</t>
  </si>
  <si>
    <t xml:space="preserve">Revenue from Operations</t>
  </si>
  <si>
    <t xml:space="preserve">₹ Mn</t>
  </si>
  <si>
    <t xml:space="preserve">  — Passenger Revenue</t>
  </si>
  <si>
    <t xml:space="preserve">  — Cargo Revenue</t>
  </si>
  <si>
    <t xml:space="preserve">  — Other Operating Revenue</t>
  </si>
  <si>
    <t xml:space="preserve">Other Income</t>
  </si>
  <si>
    <t xml:space="preserve">Total Income</t>
  </si>
  <si>
    <t xml:space="preserve">Aircraft Fuel Expenses</t>
  </si>
  <si>
    <t xml:space="preserve">Aircraft Repair &amp; Maintenance</t>
  </si>
  <si>
    <t xml:space="preserve">Airport Fees &amp; Charges</t>
  </si>
  <si>
    <t xml:space="preserve">Employee Benefit Expenses</t>
  </si>
  <si>
    <t xml:space="preserve">Finance Costs</t>
  </si>
  <si>
    <t xml:space="preserve">Depreciation &amp; Amortisation</t>
  </si>
  <si>
    <t xml:space="preserve">Foreign Exchange Loss (Net)</t>
  </si>
  <si>
    <t xml:space="preserve">Other Expenses</t>
  </si>
  <si>
    <t xml:space="preserve">Total Expenses</t>
  </si>
  <si>
    <t xml:space="preserve">Net Loss</t>
  </si>
  <si>
    <t xml:space="preserve">OPERATIONAL METRICS (Consolidated Group)</t>
  </si>
  <si>
    <t xml:space="preserve">Available Seat Kilometres (ASK)</t>
  </si>
  <si>
    <t xml:space="preserve">Mn</t>
  </si>
  <si>
    <t xml:space="preserve">Revenue Passenger Kilometres (RPK)</t>
  </si>
  <si>
    <t xml:space="preserve">Passenger Load Factor</t>
  </si>
  <si>
    <t xml:space="preserve">%</t>
  </si>
  <si>
    <t xml:space="preserve">N/A</t>
  </si>
  <si>
    <t xml:space="preserve">Passengers Carried</t>
  </si>
  <si>
    <t xml:space="preserve">Available Tonne Kilometres (ATK)</t>
  </si>
  <si>
    <t xml:space="preserve">Revenue Tonne Kilometres (RTK)</t>
  </si>
  <si>
    <t xml:space="preserve">Freight Carried</t>
  </si>
  <si>
    <t xml:space="preserve">Tonnes</t>
  </si>
  <si>
    <t xml:space="preserve">Source: Air India Annual Report FY2023-24 | Standalone P&amp;L (₹ Mn) | Operational metrics consolidated</t>
  </si>
  <si>
    <t xml:space="preserve">Air India — Derived Metrics &amp; Benchmark Analysis  |  Green = linked from Raw Data</t>
  </si>
  <si>
    <t xml:space="preserve">Calculated metrics | IndiGo FY24 = actual figures from InterGlobe Aviation Annual Report FY2023-24</t>
  </si>
  <si>
    <t xml:space="preserve">Metric</t>
  </si>
  <si>
    <t xml:space="preserve">AI FY24</t>
  </si>
  <si>
    <t xml:space="preserve">AI FY23</t>
  </si>
  <si>
    <t xml:space="preserve">IndiGo FY24 (Actual)</t>
  </si>
  <si>
    <t xml:space="preserve">Gap (AI vs IndiGo)</t>
  </si>
  <si>
    <t xml:space="preserve">Insight</t>
  </si>
  <si>
    <t xml:space="preserve">UNIT ECONOMICS</t>
  </si>
  <si>
    <t xml:space="preserve">Yield per RPK</t>
  </si>
  <si>
    <t xml:space="preserve">₹ / RPK</t>
  </si>
  <si>
    <t xml:space="preserve">AI yield ₹5.71 vs IndiGo ₹5.08 — AI earns more per RPK (longer intl routes + premium)</t>
  </si>
  <si>
    <t xml:space="preserve">RASK (Revenue per ASK)</t>
  </si>
  <si>
    <t xml:space="preserve">₹ / ASK</t>
  </si>
  <si>
    <t xml:space="preserve">AI RASK ₹5.24 vs IndiGo ₹4.96 — AI has higher revenue efficiency per seat-km</t>
  </si>
  <si>
    <t xml:space="preserve">CASK (Cost per ASK)</t>
  </si>
  <si>
    <t xml:space="preserve">AI CASK ₹6.10 vs IndiGo ₹4.38 — AI costs 39% more per seat-km; biggest gap to close</t>
  </si>
  <si>
    <t xml:space="preserve">Fuel Cost per ASK</t>
  </si>
  <si>
    <t xml:space="preserve">AI fuel CASK ₹2.14 vs IndiGo ₹1.72 — older fleet drives higher fuel burn per seat-km</t>
  </si>
  <si>
    <t xml:space="preserve">Load Factor</t>
  </si>
  <si>
    <t xml:space="preserve">AI 86.1% vs IndiGo 85.9% — nearly identical; both filling planes efficiently</t>
  </si>
  <si>
    <t xml:space="preserve">Revenue per Passenger</t>
  </si>
  <si>
    <t xml:space="preserve">₹</t>
  </si>
  <si>
    <t xml:space="preserve">AI ₹16,520 vs IndiGo ₹6,456 per pax — AI serves longer international routes</t>
  </si>
  <si>
    <t xml:space="preserve">COST STRUCTURE — % of Total Expenses (FY24)</t>
  </si>
  <si>
    <t xml:space="preserve">Aircraft Fuel</t>
  </si>
  <si>
    <t xml:space="preserve">% of costs</t>
  </si>
  <si>
    <t xml:space="preserve">AI 35.1% vs IndiGo 37.8% — IndiGo more fuel-exposed despite newer fleet (scale effect)</t>
  </si>
  <si>
    <t xml:space="preserve">Aircraft Repair &amp; Maint.</t>
  </si>
  <si>
    <t xml:space="preserve">AI 14.7% vs IndiGo 15.7% — comparable maintenance burden</t>
  </si>
  <si>
    <t xml:space="preserve">AI 11.6% vs IndiGo 7.3% — AI pays proportionally far more in airport charges</t>
  </si>
  <si>
    <t xml:space="preserve">Employee Benefits</t>
  </si>
  <si>
    <t xml:space="preserve">AI 8.9% vs IndiGo 9.2% — employee cost share similar; AI hiring aggressively</t>
  </si>
  <si>
    <t xml:space="preserve">AI 5.7% vs IndiGo 6.6% — both carry heavy finance costs (leases + debt)</t>
  </si>
  <si>
    <t xml:space="preserve">Depreciation</t>
  </si>
  <si>
    <t xml:space="preserve">AI 6.9% vs IndiGo 10.1% — IndiGo's newer fleet = higher depreciation charge</t>
  </si>
  <si>
    <t xml:space="preserve">PROFITABILITY RATIOS</t>
  </si>
  <si>
    <t xml:space="preserve">Operating Margin</t>
  </si>
  <si>
    <t xml:space="preserve">AI -11.1% vs IndiGo +8.3% op margin — the transformation gap; AI still loss-making</t>
  </si>
  <si>
    <t xml:space="preserve">Revenue Growth (YoY)</t>
  </si>
  <si>
    <t xml:space="preserve">AI +24% vs IndiGo +26.5% rev growth — both strong; IndiGo slightly faster</t>
  </si>
  <si>
    <t xml:space="preserve">Cost Growth (YoY)</t>
  </si>
  <si>
    <t xml:space="preserve">AI +22% vs IndiGo +12.4% cost growth — AI adding capacity + people faster</t>
  </si>
  <si>
    <t xml:space="preserve">Fuel as % of Revenue</t>
  </si>
  <si>
    <t xml:space="preserve">AI 40.8% vs IndiGo 34.7% fuel/rev — AI more exposed to ATF price risk</t>
  </si>
  <si>
    <t xml:space="preserve">* IndiGo benchmarks are indicative estimates. Update with InterGlobe Aviation FY24 Annual Report for precise comparison.</t>
  </si>
  <si>
    <t xml:space="preserve">Air India — Scenario Analysis: What-If on Load Factor &amp; Yield</t>
  </si>
  <si>
    <t xml:space="preserve">Change the yellow assumption cells to model different scenarios | All figures ₹ Millions</t>
  </si>
  <si>
    <t xml:space="preserve">BASE INPUTS (from FY24 Actuals)</t>
  </si>
  <si>
    <t xml:space="preserve">Base Revenue from Operations (₹ Mn)</t>
  </si>
  <si>
    <t xml:space="preserve">Base Passenger Revenue (₹ Mn)</t>
  </si>
  <si>
    <t xml:space="preserve">Base ASK (Mn)</t>
  </si>
  <si>
    <t xml:space="preserve">Base RPK (Mn)</t>
  </si>
  <si>
    <t xml:space="preserve">Base Load Factor (%)</t>
  </si>
  <si>
    <t xml:space="preserve">Base Passengers Carried (Mn)</t>
  </si>
  <si>
    <t xml:space="preserve">Base Total Expenses (₹ Mn)</t>
  </si>
  <si>
    <t xml:space="preserve">Base Net Loss (₹ Mn)</t>
  </si>
  <si>
    <t xml:space="preserve">SCENARIO ASSUMPTIONS  (Yellow cells = change these)</t>
  </si>
  <si>
    <t xml:space="preserve">Assumption</t>
  </si>
  <si>
    <t xml:space="preserve">Bear Case</t>
  </si>
  <si>
    <t xml:space="preserve">Base Case</t>
  </si>
  <si>
    <t xml:space="preserve">Bull Case</t>
  </si>
  <si>
    <t xml:space="preserve">Notes</t>
  </si>
  <si>
    <t xml:space="preserve">Load Factor Improvement</t>
  </si>
  <si>
    <t xml:space="preserve">% pt change vs FY24 86.1%</t>
  </si>
  <si>
    <t xml:space="preserve">Yield Improvement (per RPK)</t>
  </si>
  <si>
    <t xml:space="preserve">% change in yield</t>
  </si>
  <si>
    <t xml:space="preserve">ASK Growth</t>
  </si>
  <si>
    <t xml:space="preserve">% capacity expansion</t>
  </si>
  <si>
    <t xml:space="preserve">Cost Growth Rate</t>
  </si>
  <si>
    <t xml:space="preserve">% increase in total costs</t>
  </si>
  <si>
    <t xml:space="preserve">Fuel Price Change</t>
  </si>
  <si>
    <t xml:space="preserve">% change in ATF price</t>
  </si>
  <si>
    <t xml:space="preserve">SCENARIO OUTPUT — Impact on Revenue &amp; Loss</t>
  </si>
  <si>
    <t xml:space="preserve">Output Metric</t>
  </si>
  <si>
    <t xml:space="preserve">Variance (Bull-Bear)</t>
  </si>
  <si>
    <t xml:space="preserve">Projected ASK (Mn)</t>
  </si>
  <si>
    <t xml:space="preserve">Projected Load Factor (%)</t>
  </si>
  <si>
    <t xml:space="preserve">Projected RPK (Mn)</t>
  </si>
  <si>
    <t xml:space="preserve">Projected Passenger Revenue (₹ Mn)</t>
  </si>
  <si>
    <t xml:space="preserve">Projected Total Expenses (₹ Mn)</t>
  </si>
  <si>
    <t xml:space="preserve">Projected Net Loss (₹ Mn)</t>
  </si>
  <si>
    <t xml:space="preserve">Note: Scenarios model impact of operational improvements. Costs assumed to grow with capacity.</t>
  </si>
  <si>
    <t xml:space="preserve">Air India — Business Performance Dashboard  |  FY2023 vs FY2024</t>
  </si>
  <si>
    <t xml:space="preserve">Post-privatisation transformation analysis | Source: Air India Annual Report FY2024</t>
  </si>
  <si>
    <t xml:space="preserve">KEY PERFORMANCE INDICATORS — FY2024</t>
  </si>
  <si>
    <t xml:space="preserve">Revenue (₹ Mn)</t>
  </si>
  <si>
    <t xml:space="preserve">Net Loss (₹ Mn)</t>
  </si>
  <si>
    <t xml:space="preserve">Passengers (Mn)</t>
  </si>
  <si>
    <t xml:space="preserve">Revenue Growth</t>
  </si>
  <si>
    <t xml:space="preserve">KEY FINDINGS &amp; RECOMMENDATIONS</t>
  </si>
  <si>
    <t xml:space="preserve">#</t>
  </si>
  <si>
    <t xml:space="preserve">Finding</t>
  </si>
  <si>
    <t xml:space="preserve">Data Point</t>
  </si>
  <si>
    <t xml:space="preserve">Recommendation</t>
  </si>
  <si>
    <t xml:space="preserve">1</t>
  </si>
  <si>
    <t xml:space="preserve">Loss narrowing significantly</t>
  </si>
  <si>
    <t xml:space="preserve">Loss reduced from ₹1,13,879 Mn to ₹44,441 Mn (-61%)</t>
  </si>
  <si>
    <t xml:space="preserve">Continue cost discipline; prioritise CASK reduction to reach breakeven by FY26</t>
  </si>
  <si>
    <t xml:space="preserve">2</t>
  </si>
  <si>
    <t xml:space="preserve">Fuel dominates cost base</t>
  </si>
  <si>
    <t xml:space="preserve">Fuel = 35.1% of total expenses (₹1,58,534 Mn)</t>
  </si>
  <si>
    <t xml:space="preserve">Accelerate new aircraft induction (A320neo, B787) to improve fuel efficiency</t>
  </si>
  <si>
    <t xml:space="preserve">3</t>
  </si>
  <si>
    <t xml:space="preserve">Load factor improved strongly</t>
  </si>
  <si>
    <t xml:space="preserve">86.1% in FY24 vs 81.9% in FY23 — approaching IndiGo levels</t>
  </si>
  <si>
    <t xml:space="preserve">Optimise route mix for yield improvement; focus on high-margin international routes</t>
  </si>
  <si>
    <t xml:space="preserve">4</t>
  </si>
  <si>
    <t xml:space="preserve">Revenue growing faster than costs</t>
  </si>
  <si>
    <t xml:space="preserve">Revenue +24% YoY; Expenses +22% YoY</t>
  </si>
  <si>
    <t xml:space="preserve">Sustain pricing power through premium product investment and loyalty programme</t>
  </si>
  <si>
    <t xml:space="preserve">5</t>
  </si>
  <si>
    <t xml:space="preserve">Employee cost rising rapidly</t>
  </si>
  <si>
    <t xml:space="preserve">Employee expenses up 47% YoY (9,000+ new hires)</t>
  </si>
  <si>
    <t xml:space="preserve">Improve revenue per employee ratio; leverage technology for operational efficiency</t>
  </si>
  <si>
    <t xml:space="preserve">Fuel</t>
  </si>
  <si>
    <t xml:space="preserve">Repair &amp; Maint.</t>
  </si>
  <si>
    <t xml:space="preserve">Airport Fees</t>
  </si>
  <si>
    <t xml:space="preserve">Employee</t>
  </si>
  <si>
    <t xml:space="preserve">Finance</t>
  </si>
  <si>
    <t xml:space="preserve">Other</t>
  </si>
  <si>
    <t xml:space="preserve">IndiGo (InterGlobe Aviation) — FY2023-24  |  Source: Annual Report FY2023-24</t>
  </si>
  <si>
    <t xml:space="preserve">All figures ₹ Millions (standalone) | Blue = input from annual report</t>
  </si>
  <si>
    <t xml:space="preserve">FINANCIAL PERFORMANCE (₹ Millions, Standalone)</t>
  </si>
  <si>
    <t xml:space="preserve">  — Passenger Ticket Revenue</t>
  </si>
  <si>
    <t xml:space="preserve">  — Ancillary Revenue</t>
  </si>
  <si>
    <t xml:space="preserve">Aircraft &amp; Engine Rentals</t>
  </si>
  <si>
    <t xml:space="preserve">Supplementary Rentals &amp; Maintenance</t>
  </si>
  <si>
    <t xml:space="preserve">Employee Benefits Expense</t>
  </si>
  <si>
    <t xml:space="preserve">Net Profit / (Loss)</t>
  </si>
  <si>
    <t xml:space="preserve">OPERATIONAL METRICS</t>
  </si>
  <si>
    <t xml:space="preserve">Thousands</t>
  </si>
  <si>
    <t xml:space="preserve">Number of Aircraft</t>
  </si>
  <si>
    <t xml:space="preserve">Units</t>
  </si>
  <si>
    <t xml:space="preserve">RASK</t>
  </si>
  <si>
    <t xml:space="preserve">₹/ASK</t>
  </si>
  <si>
    <t xml:space="preserve">CASK</t>
  </si>
  <si>
    <t xml:space="preserve">CASK Ex-Fuel</t>
  </si>
  <si>
    <t xml:space="preserve">EBITDAR Margin</t>
  </si>
  <si>
    <t xml:space="preserve">Net Profit Margin</t>
  </si>
  <si>
    <t xml:space="preserve">Source: InterGlobe Aviation Ltd Annual Report FY2023-24 | Standalone P&amp;L | ₹ Millions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</si>
</sst>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;\(0.0%\);\-"/>
    <numFmt numFmtId="167" formatCode="#,##0.00;\(#,##0.00\);\-"/>
    <numFmt numFmtId="168" formatCode="0.0%;\(0.0%\);\-"/>
    <numFmt numFmtId="169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F2F2F2"/>
        <bgColor rgb="FFEBF3FB"/>
      </patternFill>
    </fill>
    <fill>
      <patternFill patternType="solid">
        <fgColor rgb="FF2F5496"/>
        <bgColor rgb="FF4672A8"/>
      </patternFill>
    </fill>
    <fill>
      <patternFill patternType="solid">
        <fgColor rgb="FFD6E4F0"/>
        <bgColor rgb="FFD9D9D9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BFBFBF"/>
      <rgbColor rgb="FF878787"/>
      <rgbColor rgb="FF93A9CE"/>
      <rgbColor rgb="FFAB4744"/>
      <rgbColor rgb="FFF9F9F9"/>
      <rgbColor rgb="FFEBF3FB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6E4F0"/>
      <rgbColor rgb="FFF2F2F2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C55A11"/>
      <rgbColor rgb="FF725990"/>
      <rgbColor rgb="FF8AA64F"/>
      <rgbColor rgb="FF1F3864"/>
      <rgbColor rgb="FF4299B0"/>
      <rgbColor rgb="FF003300"/>
      <rgbColor rgb="FF595959"/>
      <rgbColor rgb="FF993300"/>
      <rgbColor rgb="FFC0504D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Total Expenses (₹ 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Dashboard!B50</c:f>
              <c:strCache>
                <c:ptCount val="1"/>
                <c:pt idx="0">
                  <c:v>Employee cost rising rapidly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Dashboard!$A$51:$A$52</c:f>
              <c:strCache>
                <c:ptCount val="2"/>
                <c:pt idx="0">
                  <c:v>FY2023</c:v>
                </c:pt>
                <c:pt idx="1">
                  <c:v>FY2024</c:v>
                </c:pt>
              </c:strCache>
            </c:strRef>
          </c:cat>
          <c:val>
            <c:numRef>
              <c:f>Dashboard!$B$51:$B$52</c:f>
              <c:numCache>
                <c:formatCode>#,##0.00;\(#,##0.00\);\-</c:formatCode>
                <c:ptCount val="2"/>
                <c:pt idx="0">
                  <c:v>313773.68</c:v>
                </c:pt>
                <c:pt idx="1">
                  <c:v>388124.77</c:v>
                </c:pt>
              </c:numCache>
            </c:numRef>
          </c:val>
        </c:ser>
        <c:ser>
          <c:idx val="1"/>
          <c:order val="1"/>
          <c:tx>
            <c:strRef>
              <c:f>Dashboard!C50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Dashboard!$A$51:$A$52</c:f>
              <c:strCache>
                <c:ptCount val="2"/>
                <c:pt idx="0">
                  <c:v>FY2023</c:v>
                </c:pt>
                <c:pt idx="1">
                  <c:v>FY2024</c:v>
                </c:pt>
              </c:strCache>
            </c:strRef>
          </c:cat>
          <c:val>
            <c:numRef>
              <c:f>Dashboard!$C$51:$C$52</c:f>
              <c:numCache>
                <c:formatCode>#,##0.00;\(#,##0.00\);\-</c:formatCode>
                <c:ptCount val="2"/>
                <c:pt idx="0">
                  <c:v>50803.46</c:v>
                </c:pt>
                <c:pt idx="1">
                  <c:v>73586.8</c:v>
                </c:pt>
              </c:numCache>
            </c:numRef>
          </c:val>
        </c:ser>
        <c:gapWidth val="150"/>
        <c:overlap val="0"/>
        <c:axId val="52870341"/>
        <c:axId val="90612898"/>
      </c:barChart>
      <c:catAx>
        <c:axId val="528703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12898"/>
        <c:crosses val="autoZero"/>
        <c:auto val="1"/>
        <c:lblAlgn val="ctr"/>
        <c:lblOffset val="100"/>
        <c:noMultiLvlLbl val="0"/>
      </c:catAx>
      <c:valAx>
        <c:axId val="90612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70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Passenger Load Factor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Dashboard!$F$51:$F$52</c:f>
              <c:strCache>
                <c:ptCount val="2"/>
                <c:pt idx="0">
                  <c:v>FY2023</c:v>
                </c:pt>
                <c:pt idx="1">
                  <c:v>FY2024</c:v>
                </c:pt>
              </c:strCache>
            </c:strRef>
          </c:cat>
          <c:val>
            <c:numRef>
              <c:f>Dashboard!$G$51:$G$52</c:f>
              <c:numCache>
                <c:formatCode>#,##0.00;\(#,##0.00\);\-</c:formatCode>
                <c:ptCount val="2"/>
                <c:pt idx="0">
                  <c:v>8227</c:v>
                </c:pt>
                <c:pt idx="1">
                  <c:v>10009</c:v>
                </c:pt>
              </c:numCache>
            </c:numRef>
          </c:val>
        </c:ser>
        <c:gapWidth val="150"/>
        <c:overlap val="0"/>
        <c:axId val="77223253"/>
        <c:axId val="55638576"/>
      </c:barChart>
      <c:catAx>
        <c:axId val="772232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38576"/>
        <c:crosses val="autoZero"/>
        <c:auto val="1"/>
        <c:lblAlgn val="ctr"/>
        <c:lblOffset val="100"/>
        <c:noMultiLvlLbl val="0"/>
      </c:catAx>
      <c:valAx>
        <c:axId val="55638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Load Factor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23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FY24 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Dashboard!$I$51:$I$57</c:f>
              <c:strCache>
                <c:ptCount val="7"/>
                <c:pt idx="0">
                  <c:v>Fuel</c:v>
                </c:pt>
                <c:pt idx="1">
                  <c:v>Repair &amp; Maint.</c:v>
                </c:pt>
                <c:pt idx="2">
                  <c:v>Airport Fees</c:v>
                </c:pt>
                <c:pt idx="3">
                  <c:v>Employee</c:v>
                </c:pt>
                <c:pt idx="4">
                  <c:v>Finance</c:v>
                </c:pt>
                <c:pt idx="5">
                  <c:v>Depreciation</c:v>
                </c:pt>
                <c:pt idx="6">
                  <c:v>Other</c:v>
                </c:pt>
              </c:strCache>
            </c:strRef>
          </c:cat>
          <c:val>
            <c:numRef>
              <c:f>Dashboard!$J$51:$J$57</c:f>
              <c:numCache>
                <c:formatCode>#,##0.00;\(#,##0.00\);\-</c:formatCode>
                <c:ptCount val="7"/>
                <c:pt idx="0">
                  <c:v>158534.52</c:v>
                </c:pt>
                <c:pt idx="1">
                  <c:v>66582.73</c:v>
                </c:pt>
                <c:pt idx="2">
                  <c:v>52493.35</c:v>
                </c:pt>
                <c:pt idx="3">
                  <c:v>40312.64</c:v>
                </c:pt>
                <c:pt idx="4">
                  <c:v>25690.63</c:v>
                </c:pt>
                <c:pt idx="5">
                  <c:v>31172.43</c:v>
                </c:pt>
                <c:pt idx="6">
                  <c:v>-44440.95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Passengers Carried (Mn)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Dashboard!M50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Dashboard!$L$51:$L$52</c:f>
              <c:strCache>
                <c:ptCount val="2"/>
                <c:pt idx="0">
                  <c:v>FY2023</c:v>
                </c:pt>
                <c:pt idx="1">
                  <c:v>FY2024</c:v>
                </c:pt>
              </c:strCache>
            </c:strRef>
          </c:cat>
          <c:val>
            <c:numRef>
              <c:f>Dashboard!$M$51:$M$52</c:f>
              <c:numCache>
                <c:formatCode>#,##0.00;\(#,##0.00\);\-</c:formatCode>
                <c:ptCount val="2"/>
                <c:pt idx="0">
                  <c:v>5850</c:v>
                </c:pt>
                <c:pt idx="1">
                  <c:v>7476</c:v>
                </c:pt>
              </c:numCache>
            </c:numRef>
          </c:val>
        </c:ser>
        <c:gapWidth val="150"/>
        <c:overlap val="0"/>
        <c:axId val="20645848"/>
        <c:axId val="5876157"/>
      </c:barChart>
      <c:catAx>
        <c:axId val="20645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6157"/>
        <c:crosses val="autoZero"/>
        <c:auto val="1"/>
        <c:lblAlgn val="ctr"/>
        <c:lblOffset val="100"/>
        <c:noMultiLvlLbl val="0"/>
      </c:catAx>
      <c:valAx>
        <c:axId val="5876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45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246240</xdr:colOff>
      <xdr:row>25</xdr:row>
      <xdr:rowOff>170280</xdr:rowOff>
    </xdr:to>
    <xdr:graphicFrame>
      <xdr:nvGraphicFramePr>
        <xdr:cNvPr id="0" name="Chart 1"/>
        <xdr:cNvGraphicFramePr/>
      </xdr:nvGraphicFramePr>
      <xdr:xfrm>
        <a:off x="0" y="200016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10</xdr:col>
      <xdr:colOff>794880</xdr:colOff>
      <xdr:row>25</xdr:row>
      <xdr:rowOff>170280</xdr:rowOff>
    </xdr:to>
    <xdr:graphicFrame>
      <xdr:nvGraphicFramePr>
        <xdr:cNvPr id="1" name="Chart 2"/>
        <xdr:cNvGraphicFramePr/>
      </xdr:nvGraphicFramePr>
      <xdr:xfrm>
        <a:off x="5779800" y="200016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246240</xdr:colOff>
      <xdr:row>45</xdr:row>
      <xdr:rowOff>170280</xdr:rowOff>
    </xdr:to>
    <xdr:graphicFrame>
      <xdr:nvGraphicFramePr>
        <xdr:cNvPr id="2" name="Chart 3"/>
        <xdr:cNvGraphicFramePr/>
      </xdr:nvGraphicFramePr>
      <xdr:xfrm>
        <a:off x="0" y="581040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10</xdr:col>
      <xdr:colOff>794880</xdr:colOff>
      <xdr:row>45</xdr:row>
      <xdr:rowOff>170280</xdr:rowOff>
    </xdr:to>
    <xdr:graphicFrame>
      <xdr:nvGraphicFramePr>
        <xdr:cNvPr id="3" name="Chart 4"/>
        <xdr:cNvGraphicFramePr/>
      </xdr:nvGraphicFramePr>
      <xdr:xfrm>
        <a:off x="5779800" y="5810400"/>
        <a:ext cx="43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true" outlineLevel="0" collapsed="false">
      <c r="A4" s="5" t="s">
        <v>8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6" t="s">
        <v>9</v>
      </c>
      <c r="B5" s="7" t="s">
        <v>10</v>
      </c>
      <c r="C5" s="8" t="n">
        <v>388124.77</v>
      </c>
      <c r="D5" s="8" t="n">
        <v>313773.68</v>
      </c>
      <c r="E5" s="9" t="n">
        <f aca="false">C5-D5</f>
        <v>74351.09</v>
      </c>
      <c r="F5" s="10" t="n">
        <f aca="false">IF(D5&lt;&gt;0,(C5-D5)/D5,"-")</f>
        <v>0.236957701487263</v>
      </c>
    </row>
    <row r="6" customFormat="false" ht="15" hidden="false" customHeight="true" outlineLevel="0" collapsed="false">
      <c r="A6" s="11" t="s">
        <v>11</v>
      </c>
      <c r="B6" s="12" t="s">
        <v>10</v>
      </c>
      <c r="C6" s="13" t="n">
        <v>364033.48</v>
      </c>
      <c r="D6" s="13" t="n">
        <v>290756.31</v>
      </c>
      <c r="E6" s="14" t="n">
        <f aca="false">C6-D6</f>
        <v>73277.17</v>
      </c>
      <c r="F6" s="15" t="n">
        <f aca="false">IF(D6&lt;&gt;0,(C6-D6)/D6,"-")</f>
        <v>0.252022630222539</v>
      </c>
    </row>
    <row r="7" customFormat="false" ht="15" hidden="false" customHeight="true" outlineLevel="0" collapsed="false">
      <c r="A7" s="16" t="s">
        <v>12</v>
      </c>
      <c r="B7" s="7" t="s">
        <v>10</v>
      </c>
      <c r="C7" s="17" t="n">
        <v>20371.28</v>
      </c>
      <c r="D7" s="17" t="n">
        <v>19851.43</v>
      </c>
      <c r="E7" s="18" t="n">
        <f aca="false">C7-D7</f>
        <v>519.849999999999</v>
      </c>
      <c r="F7" s="19" t="n">
        <f aca="false">IF(D7&lt;&gt;0,(C7-D7)/D7,"-")</f>
        <v>0.026187030354992</v>
      </c>
    </row>
    <row r="8" customFormat="false" ht="15" hidden="false" customHeight="true" outlineLevel="0" collapsed="false">
      <c r="A8" s="11" t="s">
        <v>13</v>
      </c>
      <c r="B8" s="12" t="s">
        <v>10</v>
      </c>
      <c r="C8" s="13" t="n">
        <v>3720.01</v>
      </c>
      <c r="D8" s="13" t="n">
        <v>3165.94</v>
      </c>
      <c r="E8" s="14" t="n">
        <f aca="false">C8-D8</f>
        <v>554.07</v>
      </c>
      <c r="F8" s="15" t="n">
        <f aca="false">IF(D8&lt;&gt;0,(C8-D8)/D8,"-")</f>
        <v>0.175009633789649</v>
      </c>
    </row>
    <row r="9" customFormat="false" ht="15" hidden="false" customHeight="true" outlineLevel="0" collapsed="false">
      <c r="A9" s="20" t="s">
        <v>14</v>
      </c>
      <c r="B9" s="7" t="s">
        <v>10</v>
      </c>
      <c r="C9" s="17" t="n">
        <v>19636.36</v>
      </c>
      <c r="D9" s="17" t="n">
        <v>9568.92</v>
      </c>
      <c r="E9" s="18" t="n">
        <f aca="false">C9-D9</f>
        <v>10067.44</v>
      </c>
      <c r="F9" s="19" t="n">
        <f aca="false">IF(D9&lt;&gt;0,(C9-D9)/D9,"-")</f>
        <v>1.05209783340231</v>
      </c>
    </row>
    <row r="10" customFormat="false" ht="15" hidden="false" customHeight="true" outlineLevel="0" collapsed="false">
      <c r="A10" s="6" t="s">
        <v>15</v>
      </c>
      <c r="B10" s="12" t="s">
        <v>10</v>
      </c>
      <c r="C10" s="8" t="n">
        <v>407761.13</v>
      </c>
      <c r="D10" s="8" t="n">
        <v>323342.6</v>
      </c>
      <c r="E10" s="9" t="n">
        <f aca="false">C10-D10</f>
        <v>84418.53</v>
      </c>
      <c r="F10" s="10" t="n">
        <f aca="false">IF(D10&lt;&gt;0,(C10-D10)/D10,"-")</f>
        <v>0.261080754592807</v>
      </c>
    </row>
    <row r="11" customFormat="false" ht="15" hidden="false" customHeight="true" outlineLevel="0" collapsed="false">
      <c r="A11" s="21"/>
      <c r="B11" s="21"/>
      <c r="C11" s="21"/>
      <c r="D11" s="21"/>
      <c r="E11" s="21"/>
      <c r="F11" s="21"/>
    </row>
    <row r="12" customFormat="false" ht="15" hidden="false" customHeight="true" outlineLevel="0" collapsed="false">
      <c r="A12" s="6" t="s">
        <v>16</v>
      </c>
      <c r="B12" s="12" t="s">
        <v>10</v>
      </c>
      <c r="C12" s="8" t="n">
        <v>158534.52</v>
      </c>
      <c r="D12" s="8" t="n">
        <v>152989.16</v>
      </c>
      <c r="E12" s="9" t="n">
        <f aca="false">C12-D12</f>
        <v>5545.35999999999</v>
      </c>
      <c r="F12" s="10" t="n">
        <f aca="false">IF(D12&lt;&gt;0,(C12-D12)/D12,"-")</f>
        <v>0.0362467510770043</v>
      </c>
    </row>
    <row r="13" customFormat="false" ht="15" hidden="false" customHeight="true" outlineLevel="0" collapsed="false">
      <c r="A13" s="20" t="s">
        <v>17</v>
      </c>
      <c r="B13" s="7" t="s">
        <v>10</v>
      </c>
      <c r="C13" s="17" t="n">
        <v>66582.73</v>
      </c>
      <c r="D13" s="17" t="n">
        <v>48753.56</v>
      </c>
      <c r="E13" s="18" t="n">
        <f aca="false">C13-D13</f>
        <v>17829.17</v>
      </c>
      <c r="F13" s="19" t="n">
        <f aca="false">IF(D13&lt;&gt;0,(C13-D13)/D13,"-")</f>
        <v>0.365699858635964</v>
      </c>
    </row>
    <row r="14" customFormat="false" ht="15" hidden="false" customHeight="true" outlineLevel="0" collapsed="false">
      <c r="A14" s="22" t="s">
        <v>18</v>
      </c>
      <c r="B14" s="12" t="s">
        <v>10</v>
      </c>
      <c r="C14" s="13" t="n">
        <v>52493.35</v>
      </c>
      <c r="D14" s="13" t="n">
        <v>37982.68</v>
      </c>
      <c r="E14" s="14" t="n">
        <f aca="false">C14-D14</f>
        <v>14510.67</v>
      </c>
      <c r="F14" s="15" t="n">
        <f aca="false">IF(D14&lt;&gt;0,(C14-D14)/D14,"-")</f>
        <v>0.382033863855842</v>
      </c>
    </row>
    <row r="15" customFormat="false" ht="15" hidden="false" customHeight="true" outlineLevel="0" collapsed="false">
      <c r="A15" s="20" t="s">
        <v>19</v>
      </c>
      <c r="B15" s="7" t="s">
        <v>10</v>
      </c>
      <c r="C15" s="17" t="n">
        <v>40312.64</v>
      </c>
      <c r="D15" s="17" t="n">
        <v>27394.24</v>
      </c>
      <c r="E15" s="18" t="n">
        <f aca="false">C15-D15</f>
        <v>12918.4</v>
      </c>
      <c r="F15" s="19" t="n">
        <f aca="false">IF(D15&lt;&gt;0,(C15-D15)/D15,"-")</f>
        <v>0.471573586272151</v>
      </c>
    </row>
    <row r="16" customFormat="false" ht="15" hidden="false" customHeight="true" outlineLevel="0" collapsed="false">
      <c r="A16" s="22" t="s">
        <v>20</v>
      </c>
      <c r="B16" s="12" t="s">
        <v>10</v>
      </c>
      <c r="C16" s="13" t="n">
        <v>25690.63</v>
      </c>
      <c r="D16" s="13" t="n">
        <v>11092.95</v>
      </c>
      <c r="E16" s="14" t="n">
        <f aca="false">C16-D16</f>
        <v>14597.68</v>
      </c>
      <c r="F16" s="15" t="n">
        <f aca="false">IF(D16&lt;&gt;0,(C16-D16)/D16,"-")</f>
        <v>1.3159421073745</v>
      </c>
    </row>
    <row r="17" customFormat="false" ht="15" hidden="false" customHeight="true" outlineLevel="0" collapsed="false">
      <c r="A17" s="20" t="s">
        <v>21</v>
      </c>
      <c r="B17" s="7" t="s">
        <v>10</v>
      </c>
      <c r="C17" s="17" t="n">
        <v>31172.43</v>
      </c>
      <c r="D17" s="17" t="n">
        <v>30574.57</v>
      </c>
      <c r="E17" s="18" t="n">
        <f aca="false">C17-D17</f>
        <v>597.860000000001</v>
      </c>
      <c r="F17" s="19" t="n">
        <f aca="false">IF(D17&lt;&gt;0,(C17-D17)/D17,"-")</f>
        <v>0.0195541588974105</v>
      </c>
    </row>
    <row r="18" customFormat="false" ht="15" hidden="false" customHeight="true" outlineLevel="0" collapsed="false">
      <c r="A18" s="22" t="s">
        <v>22</v>
      </c>
      <c r="B18" s="12" t="s">
        <v>10</v>
      </c>
      <c r="C18" s="13" t="n">
        <v>3828.98</v>
      </c>
      <c r="D18" s="13" t="n">
        <v>11527.71</v>
      </c>
      <c r="E18" s="14" t="n">
        <f aca="false">C18-D18</f>
        <v>-7698.73</v>
      </c>
      <c r="F18" s="15" t="n">
        <f aca="false">IF(D18&lt;&gt;0,(C18-D18)/D18,"-")</f>
        <v>-0.667845565164287</v>
      </c>
    </row>
    <row r="19" customFormat="false" ht="15" hidden="false" customHeight="true" outlineLevel="0" collapsed="false">
      <c r="A19" s="20" t="s">
        <v>23</v>
      </c>
      <c r="B19" s="7" t="s">
        <v>10</v>
      </c>
      <c r="C19" s="17" t="n">
        <v>73586.8</v>
      </c>
      <c r="D19" s="17" t="n">
        <v>50803.46</v>
      </c>
      <c r="E19" s="18" t="n">
        <f aca="false">C19-D19</f>
        <v>22783.34</v>
      </c>
      <c r="F19" s="19" t="n">
        <f aca="false">IF(D19&lt;&gt;0,(C19-D19)/D19,"-")</f>
        <v>0.448460400138101</v>
      </c>
    </row>
    <row r="20" customFormat="false" ht="15" hidden="false" customHeight="true" outlineLevel="0" collapsed="false">
      <c r="A20" s="6" t="s">
        <v>24</v>
      </c>
      <c r="B20" s="12" t="s">
        <v>10</v>
      </c>
      <c r="C20" s="8" t="n">
        <v>452202.08</v>
      </c>
      <c r="D20" s="8" t="n">
        <v>371118.33</v>
      </c>
      <c r="E20" s="9" t="n">
        <f aca="false">C20-D20</f>
        <v>81083.75</v>
      </c>
      <c r="F20" s="10" t="n">
        <f aca="false">IF(D20&lt;&gt;0,(C20-D20)/D20,"-")</f>
        <v>0.218484896717443</v>
      </c>
    </row>
    <row r="21" customFormat="false" ht="15" hidden="false" customHeight="true" outlineLevel="0" collapsed="false">
      <c r="A21" s="6" t="s">
        <v>25</v>
      </c>
      <c r="B21" s="7" t="s">
        <v>10</v>
      </c>
      <c r="C21" s="8" t="n">
        <v>-44440.95</v>
      </c>
      <c r="D21" s="8" t="n">
        <v>-113879.56</v>
      </c>
      <c r="E21" s="9" t="n">
        <f aca="false">C21-D21</f>
        <v>69438.61</v>
      </c>
      <c r="F21" s="10" t="n">
        <f aca="false">IF(D21&lt;&gt;0,(C21-D21)/D21,"-")</f>
        <v>-0.609754814648037</v>
      </c>
    </row>
    <row r="23" customFormat="false" ht="15" hidden="false" customHeight="true" outlineLevel="0" collapsed="false">
      <c r="A23" s="5" t="s">
        <v>26</v>
      </c>
      <c r="B23" s="5"/>
      <c r="C23" s="5"/>
      <c r="D23" s="5"/>
      <c r="E23" s="5"/>
      <c r="F23" s="5"/>
    </row>
    <row r="24" customFormat="false" ht="15" hidden="false" customHeight="true" outlineLevel="0" collapsed="false">
      <c r="A24" s="20" t="s">
        <v>27</v>
      </c>
      <c r="B24" s="7" t="s">
        <v>28</v>
      </c>
      <c r="C24" s="17" t="n">
        <v>74086</v>
      </c>
      <c r="D24" s="17" t="n">
        <v>60900</v>
      </c>
      <c r="E24" s="18" t="n">
        <f aca="false">C24-D24</f>
        <v>13186</v>
      </c>
      <c r="F24" s="19" t="n">
        <f aca="false">IF(D24&lt;&gt;0,(C24-D24)/D24,"-")</f>
        <v>0.216518883415435</v>
      </c>
    </row>
    <row r="25" customFormat="false" ht="15" hidden="false" customHeight="true" outlineLevel="0" collapsed="false">
      <c r="A25" s="22" t="s">
        <v>29</v>
      </c>
      <c r="B25" s="12" t="s">
        <v>28</v>
      </c>
      <c r="C25" s="13" t="n">
        <v>63813</v>
      </c>
      <c r="D25" s="13" t="n">
        <v>50462</v>
      </c>
      <c r="E25" s="14" t="n">
        <f aca="false">C25-D25</f>
        <v>13351</v>
      </c>
      <c r="F25" s="15" t="n">
        <f aca="false">IF(D25&lt;&gt;0,(C25-D25)/D25,"-")</f>
        <v>0.264575324006183</v>
      </c>
    </row>
    <row r="26" customFormat="false" ht="15" hidden="false" customHeight="true" outlineLevel="0" collapsed="false">
      <c r="A26" s="20" t="s">
        <v>30</v>
      </c>
      <c r="B26" s="7" t="s">
        <v>31</v>
      </c>
      <c r="C26" s="23" t="n">
        <v>0.861</v>
      </c>
      <c r="D26" s="23" t="n">
        <v>0.819</v>
      </c>
      <c r="E26" s="19" t="n">
        <f aca="false">C26-D26</f>
        <v>0.042</v>
      </c>
      <c r="F26" s="7" t="s">
        <v>32</v>
      </c>
    </row>
    <row r="27" customFormat="false" ht="15" hidden="false" customHeight="true" outlineLevel="0" collapsed="false">
      <c r="A27" s="22" t="s">
        <v>33</v>
      </c>
      <c r="B27" s="12" t="s">
        <v>28</v>
      </c>
      <c r="C27" s="13" t="n">
        <v>23.5</v>
      </c>
      <c r="D27" s="13" t="n">
        <v>18.5</v>
      </c>
      <c r="E27" s="14" t="n">
        <f aca="false">C27-D27</f>
        <v>5</v>
      </c>
      <c r="F27" s="15" t="n">
        <f aca="false">IF(D27&lt;&gt;0,(C27-D27)/D27,"-")</f>
        <v>0.27027027027027</v>
      </c>
    </row>
    <row r="28" customFormat="false" ht="15" hidden="false" customHeight="true" outlineLevel="0" collapsed="false">
      <c r="A28" s="20" t="s">
        <v>34</v>
      </c>
      <c r="B28" s="7" t="s">
        <v>28</v>
      </c>
      <c r="C28" s="17" t="n">
        <v>10009</v>
      </c>
      <c r="D28" s="17" t="n">
        <v>8227</v>
      </c>
      <c r="E28" s="18" t="n">
        <f aca="false">C28-D28</f>
        <v>1782</v>
      </c>
      <c r="F28" s="19" t="n">
        <f aca="false">IF(D28&lt;&gt;0,(C28-D28)/D28,"-")</f>
        <v>0.216603865321502</v>
      </c>
    </row>
    <row r="29" customFormat="false" ht="15" hidden="false" customHeight="true" outlineLevel="0" collapsed="false">
      <c r="A29" s="22" t="s">
        <v>35</v>
      </c>
      <c r="B29" s="12" t="s">
        <v>28</v>
      </c>
      <c r="C29" s="13" t="n">
        <v>7476</v>
      </c>
      <c r="D29" s="13" t="n">
        <v>5850</v>
      </c>
      <c r="E29" s="14" t="n">
        <f aca="false">C29-D29</f>
        <v>1626</v>
      </c>
      <c r="F29" s="15" t="n">
        <f aca="false">IF(D29&lt;&gt;0,(C29-D29)/D29,"-")</f>
        <v>0.277948717948718</v>
      </c>
    </row>
    <row r="30" customFormat="false" ht="15" hidden="false" customHeight="true" outlineLevel="0" collapsed="false">
      <c r="A30" s="20" t="s">
        <v>36</v>
      </c>
      <c r="B30" s="7" t="s">
        <v>37</v>
      </c>
      <c r="C30" s="17" t="n">
        <v>213696</v>
      </c>
      <c r="D30" s="17" t="n">
        <v>175212</v>
      </c>
      <c r="E30" s="18" t="n">
        <f aca="false">C30-D30</f>
        <v>38484</v>
      </c>
      <c r="F30" s="19" t="n">
        <f aca="false">IF(D30&lt;&gt;0,(C30-D30)/D30,"-")</f>
        <v>0.219642490240395</v>
      </c>
    </row>
    <row r="32" customFormat="false" ht="15" hidden="false" customHeight="true" outlineLevel="0" collapsed="false">
      <c r="A32" s="3" t="s">
        <v>38</v>
      </c>
      <c r="B32" s="3"/>
      <c r="C32" s="3"/>
      <c r="D32" s="3"/>
      <c r="E32" s="3"/>
      <c r="F32" s="3"/>
    </row>
  </sheetData>
  <mergeCells count="5">
    <mergeCell ref="A1:F1"/>
    <mergeCell ref="A2:F2"/>
    <mergeCell ref="A4:F4"/>
    <mergeCell ref="A23:F23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4A"/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39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40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41</v>
      </c>
      <c r="B3" s="4" t="s">
        <v>3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</row>
    <row r="4" customFormat="false" ht="15" hidden="false" customHeight="true" outlineLevel="0" collapsed="false">
      <c r="A4" s="5" t="s">
        <v>47</v>
      </c>
      <c r="B4" s="5"/>
      <c r="C4" s="5"/>
      <c r="D4" s="5"/>
      <c r="E4" s="5"/>
      <c r="F4" s="5"/>
      <c r="G4" s="5"/>
    </row>
    <row r="5" customFormat="false" ht="31.5" hidden="false" customHeight="true" outlineLevel="0" collapsed="false">
      <c r="A5" s="20" t="s">
        <v>48</v>
      </c>
      <c r="B5" s="7" t="s">
        <v>49</v>
      </c>
      <c r="C5" s="24" t="n">
        <f aca="false">'Raw Data'!C6/'Raw Data'!C27</f>
        <v>15490.7863829787</v>
      </c>
      <c r="D5" s="24" t="n">
        <f aca="false">'Raw Data'!D6/'Raw Data'!D27</f>
        <v>15716.5572972973</v>
      </c>
      <c r="E5" s="25" t="n">
        <v>5.08114032229769</v>
      </c>
      <c r="F5" s="18" t="n">
        <f aca="false">C5-E5</f>
        <v>15485.7052426564</v>
      </c>
      <c r="G5" s="26" t="s">
        <v>50</v>
      </c>
    </row>
    <row r="6" customFormat="false" ht="31.5" hidden="false" customHeight="true" outlineLevel="0" collapsed="false">
      <c r="A6" s="22" t="s">
        <v>51</v>
      </c>
      <c r="B6" s="12" t="s">
        <v>52</v>
      </c>
      <c r="C6" s="27" t="n">
        <f aca="false">'Raw Data'!C5/'Raw Data'!C26</f>
        <v>450783.704994193</v>
      </c>
      <c r="D6" s="27" t="n">
        <f aca="false">'Raw Data'!D5/'Raw Data'!D26</f>
        <v>383118.046398046</v>
      </c>
      <c r="E6" s="28" t="n">
        <v>4.96</v>
      </c>
      <c r="F6" s="14" t="n">
        <f aca="false">C6-E6</f>
        <v>450778.744994193</v>
      </c>
      <c r="G6" s="29" t="s">
        <v>53</v>
      </c>
    </row>
    <row r="7" customFormat="false" ht="31.5" hidden="false" customHeight="true" outlineLevel="0" collapsed="false">
      <c r="A7" s="20" t="s">
        <v>54</v>
      </c>
      <c r="B7" s="7" t="s">
        <v>52</v>
      </c>
      <c r="C7" s="24" t="n">
        <f aca="false">'Raw Data'!C19/'Raw Data'!C26</f>
        <v>85466.6666666667</v>
      </c>
      <c r="D7" s="24" t="n">
        <f aca="false">'Raw Data'!D19/'Raw Data'!D26</f>
        <v>62031.0866910867</v>
      </c>
      <c r="E7" s="25" t="n">
        <v>4.38</v>
      </c>
      <c r="F7" s="18" t="n">
        <f aca="false">C7-E7</f>
        <v>85462.2866666667</v>
      </c>
      <c r="G7" s="26" t="s">
        <v>55</v>
      </c>
    </row>
    <row r="8" customFormat="false" ht="31.5" hidden="false" customHeight="true" outlineLevel="0" collapsed="false">
      <c r="A8" s="22" t="s">
        <v>56</v>
      </c>
      <c r="B8" s="12" t="s">
        <v>52</v>
      </c>
      <c r="C8" s="27" t="n">
        <f aca="false">'Raw Data'!C12/'Raw Data'!C26</f>
        <v>184128.362369338</v>
      </c>
      <c r="D8" s="27" t="n">
        <f aca="false">'Raw Data'!D12/'Raw Data'!D26</f>
        <v>186799.951159951</v>
      </c>
      <c r="E8" s="28" t="n">
        <v>1.71628420243967</v>
      </c>
      <c r="F8" s="14" t="n">
        <f aca="false">C8-E8</f>
        <v>184126.646085136</v>
      </c>
      <c r="G8" s="29" t="s">
        <v>57</v>
      </c>
    </row>
    <row r="9" customFormat="false" ht="31.5" hidden="false" customHeight="true" outlineLevel="0" collapsed="false">
      <c r="A9" s="20" t="s">
        <v>58</v>
      </c>
      <c r="B9" s="7" t="s">
        <v>31</v>
      </c>
      <c r="C9" s="24" t="n">
        <f aca="false">'Raw Data'!C28</f>
        <v>10009</v>
      </c>
      <c r="D9" s="24" t="n">
        <f aca="false">'Raw Data'!D28</f>
        <v>8227</v>
      </c>
      <c r="E9" s="30" t="n">
        <v>0.859</v>
      </c>
      <c r="F9" s="19" t="n">
        <f aca="false">C9-E9</f>
        <v>10008.141</v>
      </c>
      <c r="G9" s="26" t="s">
        <v>59</v>
      </c>
    </row>
    <row r="10" customFormat="false" ht="31.5" hidden="false" customHeight="true" outlineLevel="0" collapsed="false">
      <c r="A10" s="22" t="s">
        <v>60</v>
      </c>
      <c r="B10" s="12" t="s">
        <v>61</v>
      </c>
      <c r="C10" s="27" t="n">
        <f aca="false">'Raw Data'!C5/('Raw Data'!C29*1000000)</f>
        <v>5.19161008560728E-005</v>
      </c>
      <c r="D10" s="27" t="n">
        <f aca="false">'Raw Data'!D5/('Raw Data'!D29*1000000)</f>
        <v>5.36365264957265E-005</v>
      </c>
      <c r="E10" s="28" t="n">
        <v>6456.06982235215</v>
      </c>
      <c r="F10" s="14" t="n">
        <f aca="false">C10-E10</f>
        <v>-6456.06977043605</v>
      </c>
      <c r="G10" s="29" t="s">
        <v>62</v>
      </c>
    </row>
    <row r="12" customFormat="false" ht="15" hidden="false" customHeight="true" outlineLevel="0" collapsed="false">
      <c r="A12" s="5" t="s">
        <v>63</v>
      </c>
      <c r="B12" s="5"/>
      <c r="C12" s="5"/>
      <c r="D12" s="5"/>
      <c r="E12" s="5"/>
      <c r="F12" s="5"/>
      <c r="G12" s="5"/>
    </row>
    <row r="13" customFormat="false" ht="31.5" hidden="false" customHeight="true" outlineLevel="0" collapsed="false">
      <c r="A13" s="20" t="s">
        <v>64</v>
      </c>
      <c r="B13" s="7" t="s">
        <v>65</v>
      </c>
      <c r="C13" s="31" t="n">
        <f aca="false">'Raw Data'!C12/'Raw Data'!C19</f>
        <v>2.15438801524186</v>
      </c>
      <c r="D13" s="32"/>
      <c r="E13" s="30" t="n">
        <v>0.378316769423831</v>
      </c>
      <c r="F13" s="32"/>
      <c r="G13" s="26" t="s">
        <v>66</v>
      </c>
    </row>
    <row r="14" customFormat="false" ht="31.5" hidden="false" customHeight="true" outlineLevel="0" collapsed="false">
      <c r="A14" s="22" t="s">
        <v>67</v>
      </c>
      <c r="B14" s="12" t="s">
        <v>65</v>
      </c>
      <c r="C14" s="33" t="n">
        <f aca="false">'Raw Data'!C13/'Raw Data'!C19</f>
        <v>0.904818934917675</v>
      </c>
      <c r="D14" s="34"/>
      <c r="E14" s="35" t="n">
        <v>0.157179093762383</v>
      </c>
      <c r="F14" s="34"/>
      <c r="G14" s="29" t="s">
        <v>68</v>
      </c>
    </row>
    <row r="15" customFormat="false" ht="31.5" hidden="false" customHeight="true" outlineLevel="0" collapsed="false">
      <c r="A15" s="20" t="s">
        <v>18</v>
      </c>
      <c r="B15" s="7" t="s">
        <v>65</v>
      </c>
      <c r="C15" s="31" t="n">
        <f aca="false">'Raw Data'!C14/'Raw Data'!C19</f>
        <v>0.713352802404779</v>
      </c>
      <c r="D15" s="32"/>
      <c r="E15" s="30" t="n">
        <v>0.0731790863557573</v>
      </c>
      <c r="F15" s="32"/>
      <c r="G15" s="26" t="s">
        <v>69</v>
      </c>
    </row>
    <row r="16" customFormat="false" ht="31.5" hidden="false" customHeight="true" outlineLevel="0" collapsed="false">
      <c r="A16" s="22" t="s">
        <v>70</v>
      </c>
      <c r="B16" s="12" t="s">
        <v>65</v>
      </c>
      <c r="C16" s="33" t="n">
        <f aca="false">'Raw Data'!C15/'Raw Data'!C19</f>
        <v>0.54782433806063</v>
      </c>
      <c r="D16" s="34"/>
      <c r="E16" s="35" t="n">
        <v>0.0923886275829082</v>
      </c>
      <c r="F16" s="34"/>
      <c r="G16" s="29" t="s">
        <v>71</v>
      </c>
    </row>
    <row r="17" customFormat="false" ht="31.5" hidden="false" customHeight="true" outlineLevel="0" collapsed="false">
      <c r="A17" s="20" t="s">
        <v>20</v>
      </c>
      <c r="B17" s="7" t="s">
        <v>65</v>
      </c>
      <c r="C17" s="31" t="n">
        <f aca="false">'Raw Data'!C16/'Raw Data'!C19</f>
        <v>0.34912008675469</v>
      </c>
      <c r="D17" s="32"/>
      <c r="E17" s="30" t="n">
        <v>0.0659846895246408</v>
      </c>
      <c r="F17" s="32"/>
      <c r="G17" s="26" t="s">
        <v>72</v>
      </c>
    </row>
    <row r="18" customFormat="false" ht="31.5" hidden="false" customHeight="true" outlineLevel="0" collapsed="false">
      <c r="A18" s="22" t="s">
        <v>73</v>
      </c>
      <c r="B18" s="12" t="s">
        <v>65</v>
      </c>
      <c r="C18" s="33" t="n">
        <f aca="false">'Raw Data'!C17/'Raw Data'!C19</f>
        <v>0.423614425413253</v>
      </c>
      <c r="D18" s="34"/>
      <c r="E18" s="35" t="n">
        <v>0.101375949957042</v>
      </c>
      <c r="F18" s="34"/>
      <c r="G18" s="29" t="s">
        <v>74</v>
      </c>
    </row>
    <row r="19" customFormat="false" ht="15" hidden="false" customHeight="true" outlineLevel="0" collapsed="false">
      <c r="A19" s="20" t="s">
        <v>23</v>
      </c>
      <c r="B19" s="7" t="s">
        <v>65</v>
      </c>
      <c r="C19" s="31" t="n">
        <f aca="false">'Raw Data'!C21/'Raw Data'!C19</f>
        <v>-0.603925568172553</v>
      </c>
      <c r="D19" s="32"/>
      <c r="E19" s="30" t="n">
        <v>0.0977894341738803</v>
      </c>
      <c r="F19" s="32"/>
      <c r="G19" s="32"/>
    </row>
    <row r="21" customFormat="false" ht="15" hidden="false" customHeight="true" outlineLevel="0" collapsed="false">
      <c r="A21" s="5" t="s">
        <v>75</v>
      </c>
      <c r="B21" s="5"/>
      <c r="C21" s="5"/>
      <c r="D21" s="5"/>
      <c r="E21" s="5"/>
      <c r="F21" s="5"/>
      <c r="G21" s="5"/>
    </row>
    <row r="22" customFormat="false" ht="31.5" hidden="false" customHeight="true" outlineLevel="0" collapsed="false">
      <c r="A22" s="20" t="s">
        <v>76</v>
      </c>
      <c r="B22" s="7" t="s">
        <v>31</v>
      </c>
      <c r="C22" s="31" t="n">
        <f aca="false">('Raw Data'!C5+'Raw Data'!C19*-1)/'Raw Data'!C5</f>
        <v>0.81040426767918</v>
      </c>
      <c r="D22" s="31" t="n">
        <f aca="false">('Raw Data'!D5+'Raw Data'!D19*-1)/'Raw Data'!D5</f>
        <v>0.838088841613484</v>
      </c>
      <c r="E22" s="35" t="n">
        <v>0.0829798069909732</v>
      </c>
      <c r="F22" s="32"/>
      <c r="G22" s="29" t="s">
        <v>77</v>
      </c>
    </row>
    <row r="23" customFormat="false" ht="31.5" hidden="false" customHeight="true" outlineLevel="0" collapsed="false">
      <c r="A23" s="22" t="s">
        <v>78</v>
      </c>
      <c r="B23" s="12" t="s">
        <v>31</v>
      </c>
      <c r="C23" s="33" t="n">
        <f aca="false">('Raw Data'!C5-'Raw Data'!D5)/'Raw Data'!D5</f>
        <v>0.236957701487263</v>
      </c>
      <c r="D23" s="12" t="s">
        <v>32</v>
      </c>
      <c r="E23" s="30" t="n">
        <v>0.265543266886458</v>
      </c>
      <c r="F23" s="34"/>
      <c r="G23" s="26" t="s">
        <v>79</v>
      </c>
    </row>
    <row r="24" customFormat="false" ht="31.5" hidden="false" customHeight="true" outlineLevel="0" collapsed="false">
      <c r="A24" s="20" t="s">
        <v>80</v>
      </c>
      <c r="B24" s="7" t="s">
        <v>31</v>
      </c>
      <c r="C24" s="31" t="n">
        <f aca="false">('Raw Data'!C19-'Raw Data'!D19)/'Raw Data'!D19</f>
        <v>0.448460400138101</v>
      </c>
      <c r="D24" s="7" t="s">
        <v>32</v>
      </c>
      <c r="E24" s="35" t="n">
        <v>0.124425985811734</v>
      </c>
      <c r="F24" s="32"/>
      <c r="G24" s="29" t="s">
        <v>81</v>
      </c>
    </row>
    <row r="25" customFormat="false" ht="31.5" hidden="false" customHeight="true" outlineLevel="0" collapsed="false">
      <c r="A25" s="22" t="s">
        <v>82</v>
      </c>
      <c r="B25" s="12" t="s">
        <v>31</v>
      </c>
      <c r="C25" s="33" t="n">
        <f aca="false">'Raw Data'!C12/'Raw Data'!C5</f>
        <v>0.40846277345298</v>
      </c>
      <c r="D25" s="33" t="n">
        <f aca="false">'Raw Data'!D12/'Raw Data'!D5</f>
        <v>0.487578053073158</v>
      </c>
      <c r="E25" s="30" t="n">
        <v>0.346924116915593</v>
      </c>
      <c r="F25" s="34"/>
      <c r="G25" s="26" t="s">
        <v>83</v>
      </c>
    </row>
    <row r="27" customFormat="false" ht="15" hidden="false" customHeight="true" outlineLevel="0" collapsed="false">
      <c r="A27" s="3" t="s">
        <v>84</v>
      </c>
      <c r="B27" s="3"/>
      <c r="C27" s="3"/>
      <c r="D27" s="3"/>
      <c r="E27" s="3"/>
      <c r="F27" s="3"/>
      <c r="G27" s="3"/>
    </row>
  </sheetData>
  <mergeCells count="6">
    <mergeCell ref="A1:G1"/>
    <mergeCell ref="A2:G2"/>
    <mergeCell ref="A4:G4"/>
    <mergeCell ref="A12:G12"/>
    <mergeCell ref="A21:G21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8"/>
    <col collapsed="false" customWidth="true" hidden="false" outlineLevel="0" max="6" min="6" style="1" width="28"/>
  </cols>
  <sheetData>
    <row r="1" customFormat="false" ht="15.75" hidden="false" customHeight="true" outlineLevel="0" collapsed="false">
      <c r="A1" s="2" t="s">
        <v>85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86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5" t="s">
        <v>87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20" t="s">
        <v>88</v>
      </c>
      <c r="B5" s="24" t="n">
        <f aca="false">'Raw Data'!C5</f>
        <v>388124.77</v>
      </c>
      <c r="C5" s="36"/>
      <c r="D5" s="36"/>
      <c r="E5" s="36"/>
      <c r="F5" s="36"/>
    </row>
    <row r="6" customFormat="false" ht="15" hidden="false" customHeight="true" outlineLevel="0" collapsed="false">
      <c r="A6" s="22" t="s">
        <v>89</v>
      </c>
      <c r="B6" s="27" t="n">
        <f aca="false">'Raw Data'!C6</f>
        <v>364033.48</v>
      </c>
      <c r="C6" s="37"/>
      <c r="D6" s="37"/>
      <c r="E6" s="37"/>
      <c r="F6" s="37"/>
    </row>
    <row r="7" customFormat="false" ht="15" hidden="false" customHeight="true" outlineLevel="0" collapsed="false">
      <c r="A7" s="20" t="s">
        <v>90</v>
      </c>
      <c r="B7" s="24" t="n">
        <f aca="false">'Raw Data'!C26</f>
        <v>0.861</v>
      </c>
      <c r="C7" s="36"/>
      <c r="D7" s="36"/>
      <c r="E7" s="36"/>
      <c r="F7" s="36"/>
    </row>
    <row r="8" customFormat="false" ht="15" hidden="false" customHeight="true" outlineLevel="0" collapsed="false">
      <c r="A8" s="22" t="s">
        <v>91</v>
      </c>
      <c r="B8" s="27" t="n">
        <f aca="false">'Raw Data'!C27</f>
        <v>23.5</v>
      </c>
      <c r="C8" s="37"/>
      <c r="D8" s="37"/>
      <c r="E8" s="37"/>
      <c r="F8" s="37"/>
    </row>
    <row r="9" customFormat="false" ht="15" hidden="false" customHeight="true" outlineLevel="0" collapsed="false">
      <c r="A9" s="20" t="s">
        <v>92</v>
      </c>
      <c r="B9" s="31" t="n">
        <f aca="false">'Raw Data'!C28</f>
        <v>10009</v>
      </c>
      <c r="C9" s="36"/>
      <c r="D9" s="36"/>
      <c r="E9" s="36"/>
      <c r="F9" s="36"/>
    </row>
    <row r="10" customFormat="false" ht="15" hidden="false" customHeight="true" outlineLevel="0" collapsed="false">
      <c r="A10" s="22" t="s">
        <v>93</v>
      </c>
      <c r="B10" s="27" t="n">
        <f aca="false">'Raw Data'!C29</f>
        <v>7476</v>
      </c>
      <c r="C10" s="37"/>
      <c r="D10" s="37"/>
      <c r="E10" s="37"/>
      <c r="F10" s="37"/>
    </row>
    <row r="11" customFormat="false" ht="15" hidden="false" customHeight="true" outlineLevel="0" collapsed="false">
      <c r="A11" s="20" t="s">
        <v>94</v>
      </c>
      <c r="B11" s="24" t="n">
        <f aca="false">'Raw Data'!C19</f>
        <v>73586.8</v>
      </c>
      <c r="C11" s="36"/>
      <c r="D11" s="36"/>
      <c r="E11" s="36"/>
      <c r="F11" s="36"/>
    </row>
    <row r="12" customFormat="false" ht="15" hidden="false" customHeight="true" outlineLevel="0" collapsed="false">
      <c r="A12" s="22" t="s">
        <v>95</v>
      </c>
      <c r="B12" s="27" t="n">
        <f aca="false">'Raw Data'!C20</f>
        <v>452202.08</v>
      </c>
      <c r="C12" s="37"/>
      <c r="D12" s="37"/>
      <c r="E12" s="37"/>
      <c r="F12" s="37"/>
    </row>
    <row r="14" customFormat="false" ht="15" hidden="false" customHeight="true" outlineLevel="0" collapsed="false">
      <c r="A14" s="5" t="s">
        <v>96</v>
      </c>
      <c r="B14" s="5"/>
      <c r="C14" s="5"/>
      <c r="D14" s="5"/>
      <c r="E14" s="5"/>
      <c r="F14" s="5"/>
    </row>
    <row r="15" customFormat="false" ht="15" hidden="false" customHeight="true" outlineLevel="0" collapsed="false">
      <c r="A15" s="4" t="s">
        <v>97</v>
      </c>
      <c r="C15" s="4" t="s">
        <v>98</v>
      </c>
      <c r="D15" s="4" t="s">
        <v>99</v>
      </c>
      <c r="E15" s="4" t="s">
        <v>100</v>
      </c>
      <c r="F15" s="4" t="s">
        <v>101</v>
      </c>
    </row>
    <row r="16" customFormat="false" ht="15" hidden="false" customHeight="true" outlineLevel="0" collapsed="false">
      <c r="A16" s="20" t="s">
        <v>102</v>
      </c>
      <c r="B16" s="38" t="n">
        <v>-0.02</v>
      </c>
      <c r="C16" s="38" t="n">
        <v>0</v>
      </c>
      <c r="D16" s="38" t="n">
        <v>0.03</v>
      </c>
      <c r="E16" s="20" t="s">
        <v>103</v>
      </c>
    </row>
    <row r="17" customFormat="false" ht="15" hidden="false" customHeight="true" outlineLevel="0" collapsed="false">
      <c r="A17" s="22" t="s">
        <v>104</v>
      </c>
      <c r="B17" s="38" t="n">
        <v>-0.05</v>
      </c>
      <c r="C17" s="38" t="n">
        <v>0</v>
      </c>
      <c r="D17" s="38" t="n">
        <v>0.08</v>
      </c>
      <c r="E17" s="22" t="s">
        <v>105</v>
      </c>
    </row>
    <row r="18" customFormat="false" ht="15" hidden="false" customHeight="true" outlineLevel="0" collapsed="false">
      <c r="A18" s="20" t="s">
        <v>106</v>
      </c>
      <c r="B18" s="38" t="n">
        <v>0.1</v>
      </c>
      <c r="C18" s="38" t="n">
        <v>0.15</v>
      </c>
      <c r="D18" s="38" t="n">
        <v>0.22</v>
      </c>
      <c r="E18" s="20" t="s">
        <v>107</v>
      </c>
    </row>
    <row r="19" customFormat="false" ht="15" hidden="false" customHeight="true" outlineLevel="0" collapsed="false">
      <c r="A19" s="22" t="s">
        <v>108</v>
      </c>
      <c r="B19" s="38" t="n">
        <v>0.12</v>
      </c>
      <c r="C19" s="38" t="n">
        <v>0.1</v>
      </c>
      <c r="D19" s="38" t="n">
        <v>0.07</v>
      </c>
      <c r="E19" s="22" t="s">
        <v>109</v>
      </c>
    </row>
    <row r="20" customFormat="false" ht="15" hidden="false" customHeight="true" outlineLevel="0" collapsed="false">
      <c r="A20" s="20" t="s">
        <v>110</v>
      </c>
      <c r="B20" s="38" t="n">
        <v>0.08</v>
      </c>
      <c r="C20" s="38" t="n">
        <v>0</v>
      </c>
      <c r="D20" s="38" t="n">
        <v>-0.05</v>
      </c>
      <c r="E20" s="20" t="s">
        <v>111</v>
      </c>
    </row>
    <row r="22" customFormat="false" ht="15" hidden="false" customHeight="true" outlineLevel="0" collapsed="false">
      <c r="A22" s="5" t="s">
        <v>112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4" t="s">
        <v>113</v>
      </c>
      <c r="B23" s="4" t="s">
        <v>98</v>
      </c>
      <c r="C23" s="4" t="s">
        <v>99</v>
      </c>
      <c r="D23" s="4" t="s">
        <v>100</v>
      </c>
      <c r="E23" s="4" t="s">
        <v>114</v>
      </c>
    </row>
    <row r="24" customFormat="false" ht="15" hidden="false" customHeight="true" outlineLevel="0" collapsed="false">
      <c r="A24" s="20" t="s">
        <v>115</v>
      </c>
      <c r="B24" s="18" t="n">
        <f aca="false">B7*(1+B18)</f>
        <v>0.9471</v>
      </c>
      <c r="C24" s="18" t="n">
        <f aca="false">B7*(1+C18)</f>
        <v>0.99015</v>
      </c>
      <c r="D24" s="18" t="n">
        <f aca="false">B7*(1+D18)</f>
        <v>1.05042</v>
      </c>
      <c r="E24" s="18" t="n">
        <f aca="false">D24-B24</f>
        <v>0.10332</v>
      </c>
    </row>
    <row r="25" customFormat="false" ht="15" hidden="false" customHeight="true" outlineLevel="0" collapsed="false">
      <c r="A25" s="22" t="s">
        <v>116</v>
      </c>
      <c r="B25" s="15" t="n">
        <f aca="false">B9+B16</f>
        <v>10008.98</v>
      </c>
      <c r="C25" s="15" t="n">
        <f aca="false">B9+C16</f>
        <v>10009</v>
      </c>
      <c r="D25" s="15" t="n">
        <f aca="false">B9+D16</f>
        <v>10009.03</v>
      </c>
      <c r="E25" s="15" t="n">
        <f aca="false">D25-B25</f>
        <v>0.0500000000010914</v>
      </c>
    </row>
    <row r="26" customFormat="false" ht="15" hidden="false" customHeight="true" outlineLevel="0" collapsed="false">
      <c r="A26" s="20" t="s">
        <v>117</v>
      </c>
      <c r="B26" s="18" t="n">
        <f aca="false">B7*(1+B18)*(B9+B16)</f>
        <v>9479.504958</v>
      </c>
      <c r="C26" s="18" t="n">
        <f aca="false">B7*(1+C18)*(B9+C16)</f>
        <v>9910.41135</v>
      </c>
      <c r="D26" s="18" t="n">
        <f aca="false">B7*(1+D18)*(B9+D16)</f>
        <v>10513.6852926</v>
      </c>
      <c r="E26" s="18" t="n">
        <f aca="false">D26-B26</f>
        <v>1034.1803346</v>
      </c>
    </row>
    <row r="27" customFormat="false" ht="15" hidden="false" customHeight="true" outlineLevel="0" collapsed="false">
      <c r="A27" s="22" t="s">
        <v>118</v>
      </c>
      <c r="B27" s="14" t="n">
        <f aca="false">B6*(1+B17)*(B7*(1+B18)*(B9+B16))/B8</f>
        <v>139502737.004727</v>
      </c>
      <c r="C27" s="14" t="n">
        <f aca="false">B6*(1+C17)*(B7*(1+C18)*(B9+C16))/B8</f>
        <v>153520065.190298</v>
      </c>
      <c r="D27" s="14" t="n">
        <f aca="false">B6*(1+D17)*(B7*(1+D18)*(B9+D16))/B8</f>
        <v>175894473.202774</v>
      </c>
      <c r="E27" s="14" t="n">
        <f aca="false">D27-B27</f>
        <v>36391736.1980469</v>
      </c>
    </row>
    <row r="28" customFormat="false" ht="15" hidden="false" customHeight="true" outlineLevel="0" collapsed="false">
      <c r="A28" s="20" t="s">
        <v>119</v>
      </c>
      <c r="B28" s="18" t="n">
        <f aca="false">B11*(1+B19)</f>
        <v>82417.216</v>
      </c>
      <c r="C28" s="18" t="n">
        <f aca="false">B11*(1+C19)</f>
        <v>80945.48</v>
      </c>
      <c r="D28" s="18" t="n">
        <f aca="false">B11*(1+D19)</f>
        <v>78737.876</v>
      </c>
      <c r="E28" s="18" t="n">
        <f aca="false">D28-B28</f>
        <v>-3679.34000000001</v>
      </c>
    </row>
    <row r="29" customFormat="false" ht="15" hidden="false" customHeight="true" outlineLevel="0" collapsed="false">
      <c r="A29" s="6" t="s">
        <v>120</v>
      </c>
      <c r="B29" s="9" t="n">
        <f aca="false">B27-B28</f>
        <v>139420319.788727</v>
      </c>
      <c r="C29" s="9" t="n">
        <f aca="false">C27-C28</f>
        <v>153439119.710298</v>
      </c>
      <c r="D29" s="9" t="n">
        <f aca="false">D27-D28</f>
        <v>175815735.326774</v>
      </c>
      <c r="E29" s="9" t="n">
        <f aca="false">D29-B29</f>
        <v>36395415.5380469</v>
      </c>
    </row>
    <row r="31" customFormat="false" ht="15" hidden="false" customHeight="true" outlineLevel="0" collapsed="false">
      <c r="A31" s="3" t="s">
        <v>121</v>
      </c>
      <c r="B31" s="3"/>
      <c r="C31" s="3"/>
      <c r="D31" s="3"/>
      <c r="E31" s="3"/>
      <c r="F31" s="3"/>
    </row>
  </sheetData>
  <mergeCells count="6">
    <mergeCell ref="A1:F1"/>
    <mergeCell ref="A2:F2"/>
    <mergeCell ref="A4:F4"/>
    <mergeCell ref="A14:F14"/>
    <mergeCell ref="A22:F2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12"/>
    <col collapsed="false" customWidth="true" hidden="false" outlineLevel="0" max="7" min="5" style="1" width="14"/>
    <col collapsed="false" customWidth="true" hidden="false" outlineLevel="0" max="9" min="8" style="1" width="18"/>
    <col collapsed="false" customWidth="true" hidden="false" outlineLevel="0" max="14" min="10" style="1" width="14"/>
  </cols>
  <sheetData>
    <row r="1" customFormat="false" ht="36" hidden="false" customHeight="true" outlineLevel="0" collapsed="false">
      <c r="A1" s="39" t="s">
        <v>122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customFormat="false" ht="15" hidden="false" customHeight="true" outlineLevel="0" collapsed="false">
      <c r="A2" s="40" t="s">
        <v>123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customFormat="false" ht="15" hidden="false" customHeight="true" outlineLevel="0" collapsed="false">
      <c r="A3" s="5" t="s">
        <v>124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18" hidden="false" customHeight="true" outlineLevel="0" collapsed="false">
      <c r="A4" s="41" t="s">
        <v>125</v>
      </c>
      <c r="B4" s="41"/>
      <c r="C4" s="41"/>
      <c r="D4" s="41" t="s">
        <v>126</v>
      </c>
      <c r="E4" s="41"/>
      <c r="F4" s="41"/>
      <c r="G4" s="41" t="s">
        <v>58</v>
      </c>
      <c r="H4" s="41"/>
      <c r="I4" s="41"/>
      <c r="J4" s="41" t="s">
        <v>127</v>
      </c>
      <c r="K4" s="41"/>
      <c r="L4" s="41"/>
      <c r="M4" s="41" t="s">
        <v>128</v>
      </c>
      <c r="N4" s="41"/>
      <c r="O4" s="41"/>
    </row>
    <row r="5" customFormat="false" ht="36" hidden="false" customHeight="true" outlineLevel="0" collapsed="false">
      <c r="A5" s="42" t="n">
        <f aca="false">'Raw Data'!C5</f>
        <v>388124.77</v>
      </c>
      <c r="B5" s="42"/>
      <c r="C5" s="42"/>
      <c r="D5" s="42" t="n">
        <f aca="false">'Raw Data'!C20</f>
        <v>452202.08</v>
      </c>
      <c r="E5" s="42"/>
      <c r="F5" s="42"/>
      <c r="G5" s="43" t="n">
        <f aca="false">'Raw Data'!C28</f>
        <v>10009</v>
      </c>
      <c r="H5" s="43"/>
      <c r="I5" s="43"/>
      <c r="J5" s="44" t="n">
        <f aca="false">'Raw Data'!C29</f>
        <v>7476</v>
      </c>
      <c r="K5" s="44"/>
      <c r="L5" s="44"/>
      <c r="M5" s="43" t="n">
        <f aca="false">('Raw Data'!C5-'Raw Data'!D5)/'Raw Data'!D5</f>
        <v>0.236957701487263</v>
      </c>
      <c r="N5" s="43"/>
      <c r="O5" s="43"/>
    </row>
    <row r="6" customFormat="false" ht="19.5" hidden="false" customHeight="true" outlineLevel="0" collapsed="false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customFormat="false" ht="18" hidden="false" customHeight="true" outlineLevel="0" collapsed="false"/>
    <row r="44" customFormat="false" ht="15" hidden="false" customHeight="true" outlineLevel="0" collapsed="false">
      <c r="A44" s="5" t="s">
        <v>129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A45" s="46" t="s">
        <v>130</v>
      </c>
      <c r="B45" s="46" t="s">
        <v>131</v>
      </c>
      <c r="E45" s="46" t="s">
        <v>132</v>
      </c>
      <c r="H45" s="46" t="s">
        <v>133</v>
      </c>
    </row>
    <row r="46" customFormat="false" ht="30" hidden="false" customHeight="true" outlineLevel="0" collapsed="false">
      <c r="A46" s="46" t="s">
        <v>134</v>
      </c>
      <c r="B46" s="47" t="s">
        <v>135</v>
      </c>
      <c r="C46" s="47"/>
      <c r="D46" s="47"/>
      <c r="E46" s="48" t="s">
        <v>136</v>
      </c>
      <c r="F46" s="48"/>
      <c r="G46" s="48"/>
      <c r="H46" s="49" t="s">
        <v>137</v>
      </c>
      <c r="I46" s="49"/>
      <c r="J46" s="49"/>
      <c r="K46" s="49"/>
      <c r="L46" s="49"/>
      <c r="M46" s="49"/>
      <c r="N46" s="49"/>
    </row>
    <row r="47" customFormat="false" ht="30" hidden="false" customHeight="true" outlineLevel="0" collapsed="false">
      <c r="A47" s="4" t="s">
        <v>138</v>
      </c>
      <c r="B47" s="50" t="s">
        <v>139</v>
      </c>
      <c r="C47" s="50"/>
      <c r="D47" s="50"/>
      <c r="E47" s="51" t="s">
        <v>140</v>
      </c>
      <c r="F47" s="51"/>
      <c r="G47" s="51"/>
      <c r="H47" s="52" t="s">
        <v>141</v>
      </c>
      <c r="I47" s="52"/>
      <c r="J47" s="52"/>
      <c r="K47" s="52"/>
      <c r="L47" s="52"/>
      <c r="M47" s="52"/>
      <c r="N47" s="52"/>
    </row>
    <row r="48" customFormat="false" ht="30" hidden="false" customHeight="true" outlineLevel="0" collapsed="false">
      <c r="A48" s="46" t="s">
        <v>142</v>
      </c>
      <c r="B48" s="47" t="s">
        <v>143</v>
      </c>
      <c r="C48" s="47"/>
      <c r="D48" s="47"/>
      <c r="E48" s="48" t="s">
        <v>144</v>
      </c>
      <c r="F48" s="48"/>
      <c r="G48" s="48"/>
      <c r="H48" s="49" t="s">
        <v>145</v>
      </c>
      <c r="I48" s="49"/>
      <c r="J48" s="49"/>
      <c r="K48" s="49"/>
      <c r="L48" s="49"/>
      <c r="M48" s="49"/>
      <c r="N48" s="49"/>
    </row>
    <row r="49" customFormat="false" ht="30" hidden="false" customHeight="true" outlineLevel="0" collapsed="false">
      <c r="A49" s="4" t="s">
        <v>146</v>
      </c>
      <c r="B49" s="50" t="s">
        <v>147</v>
      </c>
      <c r="C49" s="50"/>
      <c r="D49" s="50"/>
      <c r="E49" s="51" t="s">
        <v>148</v>
      </c>
      <c r="F49" s="51"/>
      <c r="G49" s="51"/>
      <c r="H49" s="52" t="s">
        <v>149</v>
      </c>
      <c r="I49" s="52"/>
      <c r="J49" s="52"/>
      <c r="K49" s="52"/>
      <c r="L49" s="52"/>
      <c r="M49" s="52"/>
      <c r="N49" s="52"/>
    </row>
    <row r="50" customFormat="false" ht="30" hidden="false" customHeight="true" outlineLevel="0" collapsed="false">
      <c r="A50" s="46" t="s">
        <v>150</v>
      </c>
      <c r="B50" s="47" t="s">
        <v>151</v>
      </c>
      <c r="C50" s="47"/>
      <c r="D50" s="47"/>
      <c r="E50" s="48" t="s">
        <v>152</v>
      </c>
      <c r="F50" s="48"/>
      <c r="G50" s="48"/>
      <c r="H50" s="49" t="s">
        <v>153</v>
      </c>
      <c r="I50" s="49"/>
      <c r="J50" s="49"/>
      <c r="K50" s="49"/>
      <c r="L50" s="49"/>
      <c r="M50" s="49"/>
      <c r="N50" s="49"/>
    </row>
    <row r="51" customFormat="false" ht="15" hidden="false" customHeight="true" outlineLevel="0" collapsed="false">
      <c r="A51" s="1" t="s">
        <v>5</v>
      </c>
      <c r="B51" s="53" t="n">
        <f aca="false">'Raw Data'!D5</f>
        <v>313773.68</v>
      </c>
      <c r="C51" s="53" t="n">
        <f aca="false">'Raw Data'!D19</f>
        <v>50803.46</v>
      </c>
      <c r="D51" s="53" t="n">
        <f aca="false">'Raw Data'!D20</f>
        <v>371118.33</v>
      </c>
      <c r="F51" s="1" t="s">
        <v>5</v>
      </c>
      <c r="G51" s="53" t="n">
        <f aca="false">'Raw Data'!D28</f>
        <v>8227</v>
      </c>
      <c r="I51" s="1" t="s">
        <v>154</v>
      </c>
      <c r="J51" s="53" t="n">
        <f aca="false">'Raw Data'!C12</f>
        <v>158534.52</v>
      </c>
      <c r="L51" s="1" t="s">
        <v>5</v>
      </c>
      <c r="M51" s="53" t="n">
        <f aca="false">'Raw Data'!D29</f>
        <v>5850</v>
      </c>
    </row>
    <row r="52" customFormat="false" ht="15" hidden="false" customHeight="true" outlineLevel="0" collapsed="false">
      <c r="A52" s="1" t="s">
        <v>4</v>
      </c>
      <c r="B52" s="53" t="n">
        <f aca="false">'Raw Data'!C5</f>
        <v>388124.77</v>
      </c>
      <c r="C52" s="53" t="n">
        <f aca="false">'Raw Data'!C19</f>
        <v>73586.8</v>
      </c>
      <c r="D52" s="53" t="n">
        <f aca="false">'Raw Data'!C20</f>
        <v>452202.08</v>
      </c>
      <c r="F52" s="1" t="s">
        <v>4</v>
      </c>
      <c r="G52" s="53" t="n">
        <f aca="false">'Raw Data'!C28</f>
        <v>10009</v>
      </c>
      <c r="I52" s="1" t="s">
        <v>155</v>
      </c>
      <c r="J52" s="53" t="n">
        <f aca="false">'Raw Data'!C13</f>
        <v>66582.73</v>
      </c>
      <c r="L52" s="1" t="s">
        <v>4</v>
      </c>
      <c r="M52" s="53" t="n">
        <f aca="false">'Raw Data'!C29</f>
        <v>7476</v>
      </c>
    </row>
    <row r="53" customFormat="false" ht="15" hidden="false" customHeight="true" outlineLevel="0" collapsed="false">
      <c r="I53" s="1" t="s">
        <v>156</v>
      </c>
      <c r="J53" s="53" t="n">
        <f aca="false">'Raw Data'!C14</f>
        <v>52493.35</v>
      </c>
    </row>
    <row r="54" customFormat="false" ht="15" hidden="false" customHeight="true" outlineLevel="0" collapsed="false">
      <c r="I54" s="1" t="s">
        <v>157</v>
      </c>
      <c r="J54" s="53" t="n">
        <f aca="false">'Raw Data'!C15</f>
        <v>40312.64</v>
      </c>
    </row>
    <row r="55" customFormat="false" ht="15" hidden="false" customHeight="true" outlineLevel="0" collapsed="false">
      <c r="I55" s="1" t="s">
        <v>158</v>
      </c>
      <c r="J55" s="53" t="n">
        <f aca="false">'Raw Data'!C16</f>
        <v>25690.63</v>
      </c>
    </row>
    <row r="56" customFormat="false" ht="15" hidden="false" customHeight="true" outlineLevel="0" collapsed="false">
      <c r="I56" s="1" t="s">
        <v>73</v>
      </c>
      <c r="J56" s="53" t="n">
        <f aca="false">'Raw Data'!C17</f>
        <v>31172.43</v>
      </c>
    </row>
    <row r="57" customFormat="false" ht="15" hidden="false" customHeight="true" outlineLevel="0" collapsed="false">
      <c r="I57" s="1" t="s">
        <v>159</v>
      </c>
      <c r="J57" s="53" t="n">
        <f aca="false">'Raw Data'!C21</f>
        <v>-44440.95</v>
      </c>
    </row>
  </sheetData>
  <mergeCells count="34">
    <mergeCell ref="A1:N1"/>
    <mergeCell ref="A2:N2"/>
    <mergeCell ref="A3:N3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  <mergeCell ref="A6:C6"/>
    <mergeCell ref="D6:F6"/>
    <mergeCell ref="G6:I6"/>
    <mergeCell ref="J6:L6"/>
    <mergeCell ref="M6:O6"/>
    <mergeCell ref="A44:N44"/>
    <mergeCell ref="B46:D46"/>
    <mergeCell ref="E46:G46"/>
    <mergeCell ref="H46:N46"/>
    <mergeCell ref="B47:D47"/>
    <mergeCell ref="E47:G47"/>
    <mergeCell ref="H47:N47"/>
    <mergeCell ref="B48:D48"/>
    <mergeCell ref="E48:G48"/>
    <mergeCell ref="H48:N48"/>
    <mergeCell ref="B49:D49"/>
    <mergeCell ref="E49:G49"/>
    <mergeCell ref="H49:N49"/>
    <mergeCell ref="B50:D50"/>
    <mergeCell ref="E50:G50"/>
    <mergeCell ref="H50:N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34.5" hidden="false" customHeight="true" outlineLevel="0" collapsed="false">
      <c r="A1" s="54" t="s">
        <v>160</v>
      </c>
      <c r="B1" s="54"/>
      <c r="C1" s="54"/>
      <c r="D1" s="54"/>
      <c r="E1" s="54"/>
      <c r="F1" s="54"/>
    </row>
    <row r="2" customFormat="false" ht="15" hidden="false" customHeight="false" outlineLevel="0" collapsed="false">
      <c r="A2" s="3" t="s">
        <v>161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5" t="s">
        <v>162</v>
      </c>
      <c r="B4" s="55"/>
      <c r="C4" s="55"/>
      <c r="D4" s="55"/>
      <c r="E4" s="55"/>
      <c r="F4" s="55"/>
    </row>
    <row r="5" customFormat="false" ht="15" hidden="false" customHeight="false" outlineLevel="0" collapsed="false">
      <c r="A5" s="6" t="s">
        <v>9</v>
      </c>
      <c r="B5" s="56" t="s">
        <v>10</v>
      </c>
      <c r="C5" s="28" t="n">
        <v>689043.42</v>
      </c>
      <c r="D5" s="28" t="n">
        <v>544464.53</v>
      </c>
      <c r="E5" s="57" t="n">
        <f aca="false">C5-D5</f>
        <v>144578.89</v>
      </c>
      <c r="F5" s="58" t="n">
        <f aca="false">IF(D5&lt;&gt;0,(C5-D5)/ABS(D5),"-")</f>
        <v>0.265543266886458</v>
      </c>
    </row>
    <row r="6" customFormat="false" ht="15" hidden="false" customHeight="false" outlineLevel="0" collapsed="false">
      <c r="A6" s="11" t="s">
        <v>163</v>
      </c>
      <c r="B6" s="59" t="s">
        <v>10</v>
      </c>
      <c r="C6" s="25" t="n">
        <v>608227.74</v>
      </c>
      <c r="D6" s="25" t="n">
        <v>481743.71</v>
      </c>
      <c r="E6" s="60" t="n">
        <f aca="false">C6-D6</f>
        <v>126484.03</v>
      </c>
      <c r="F6" s="61" t="n">
        <f aca="false">IF(D6&lt;&gt;0,(C6-D6)/ABS(D6),"-")</f>
        <v>0.262554606058063</v>
      </c>
    </row>
    <row r="7" customFormat="false" ht="15" hidden="false" customHeight="false" outlineLevel="0" collapsed="false">
      <c r="A7" s="16" t="s">
        <v>164</v>
      </c>
      <c r="B7" s="56" t="s">
        <v>10</v>
      </c>
      <c r="C7" s="28" t="n">
        <v>65789.01</v>
      </c>
      <c r="D7" s="28" t="n">
        <v>54415.21</v>
      </c>
      <c r="E7" s="57" t="n">
        <f aca="false">C7-D7</f>
        <v>11373.8</v>
      </c>
      <c r="F7" s="58" t="n">
        <f aca="false">IF(D7&lt;&gt;0,(C7-D7)/ABS(D7),"-")</f>
        <v>0.209018765157756</v>
      </c>
    </row>
    <row r="8" customFormat="false" ht="15" hidden="false" customHeight="false" outlineLevel="0" collapsed="false">
      <c r="A8" s="22" t="s">
        <v>14</v>
      </c>
      <c r="B8" s="59" t="s">
        <v>10</v>
      </c>
      <c r="C8" s="25" t="n">
        <v>23255.72</v>
      </c>
      <c r="D8" s="25" t="n">
        <v>14314.35</v>
      </c>
      <c r="E8" s="60" t="n">
        <f aca="false">C8-D8</f>
        <v>8941.37</v>
      </c>
      <c r="F8" s="61" t="n">
        <f aca="false">IF(D8&lt;&gt;0,(C8-D8)/ABS(D8),"-")</f>
        <v>0.624643801499894</v>
      </c>
    </row>
    <row r="9" customFormat="false" ht="15" hidden="false" customHeight="false" outlineLevel="0" collapsed="false">
      <c r="A9" s="6" t="s">
        <v>15</v>
      </c>
      <c r="B9" s="56" t="s">
        <v>10</v>
      </c>
      <c r="C9" s="28" t="n">
        <v>712299.14</v>
      </c>
      <c r="D9" s="28" t="n">
        <v>558778.88</v>
      </c>
      <c r="E9" s="57" t="n">
        <f aca="false">C9-D9</f>
        <v>153520.26</v>
      </c>
      <c r="F9" s="58" t="n">
        <f aca="false">IF(D9&lt;&gt;0,(C9-D9)/ABS(D9),"-")</f>
        <v>0.274742416893065</v>
      </c>
    </row>
    <row r="10" customFormat="false" ht="15" hidden="false" customHeight="false" outlineLevel="0" collapsed="false">
      <c r="A10" s="62"/>
      <c r="B10" s="62"/>
      <c r="C10" s="62"/>
      <c r="D10" s="62"/>
      <c r="E10" s="62"/>
      <c r="F10" s="62"/>
    </row>
    <row r="11" customFormat="false" ht="15" hidden="false" customHeight="false" outlineLevel="0" collapsed="false">
      <c r="A11" s="6" t="s">
        <v>16</v>
      </c>
      <c r="B11" s="56" t="s">
        <v>10</v>
      </c>
      <c r="C11" s="28" t="n">
        <v>239045.78</v>
      </c>
      <c r="D11" s="28" t="n">
        <v>236460.17</v>
      </c>
      <c r="E11" s="57" t="n">
        <f aca="false">C11-D11</f>
        <v>2585.60999999999</v>
      </c>
      <c r="F11" s="58" t="n">
        <f aca="false">IF(D11&lt;&gt;0,(C11-D11)/ABS(D11),"-")</f>
        <v>0.0109346533921547</v>
      </c>
    </row>
    <row r="12" customFormat="false" ht="15" hidden="false" customHeight="false" outlineLevel="0" collapsed="false">
      <c r="A12" s="22" t="s">
        <v>165</v>
      </c>
      <c r="B12" s="59" t="s">
        <v>10</v>
      </c>
      <c r="C12" s="25" t="n">
        <v>10751.95</v>
      </c>
      <c r="D12" s="25" t="n">
        <v>3258.4</v>
      </c>
      <c r="E12" s="60" t="n">
        <f aca="false">C12-D12</f>
        <v>7493.55</v>
      </c>
      <c r="F12" s="61" t="n">
        <f aca="false">IF(D12&lt;&gt;0,(C12-D12)/ABS(D12),"-")</f>
        <v>2.29976368769948</v>
      </c>
    </row>
    <row r="13" customFormat="false" ht="15" hidden="false" customHeight="false" outlineLevel="0" collapsed="false">
      <c r="A13" s="20" t="s">
        <v>166</v>
      </c>
      <c r="B13" s="56" t="s">
        <v>10</v>
      </c>
      <c r="C13" s="28" t="n">
        <v>99316.24</v>
      </c>
      <c r="D13" s="28" t="n">
        <v>80449.6</v>
      </c>
      <c r="E13" s="57" t="n">
        <f aca="false">C13-D13</f>
        <v>18866.64</v>
      </c>
      <c r="F13" s="58" t="n">
        <f aca="false">IF(D13&lt;&gt;0,(C13-D13)/ABS(D13),"-")</f>
        <v>0.234515025556373</v>
      </c>
    </row>
    <row r="14" customFormat="false" ht="15" hidden="false" customHeight="false" outlineLevel="0" collapsed="false">
      <c r="A14" s="22" t="s">
        <v>18</v>
      </c>
      <c r="B14" s="59" t="s">
        <v>10</v>
      </c>
      <c r="C14" s="25" t="n">
        <v>46239.43</v>
      </c>
      <c r="D14" s="25" t="n">
        <v>36468</v>
      </c>
      <c r="E14" s="60" t="n">
        <f aca="false">C14-D14</f>
        <v>9771.43</v>
      </c>
      <c r="F14" s="61" t="n">
        <f aca="false">IF(D14&lt;&gt;0,(C14-D14)/ABS(D14),"-")</f>
        <v>0.267945321926072</v>
      </c>
    </row>
    <row r="15" customFormat="false" ht="15" hidden="false" customHeight="false" outlineLevel="0" collapsed="false">
      <c r="A15" s="20" t="s">
        <v>167</v>
      </c>
      <c r="B15" s="56" t="s">
        <v>10</v>
      </c>
      <c r="C15" s="28" t="n">
        <v>58377.3</v>
      </c>
      <c r="D15" s="28" t="n">
        <v>43246.56</v>
      </c>
      <c r="E15" s="57" t="n">
        <f aca="false">C15-D15</f>
        <v>15130.74</v>
      </c>
      <c r="F15" s="58" t="n">
        <f aca="false">IF(D15&lt;&gt;0,(C15-D15)/ABS(D15),"-")</f>
        <v>0.349871527353852</v>
      </c>
    </row>
    <row r="16" customFormat="false" ht="15" hidden="false" customHeight="false" outlineLevel="0" collapsed="false">
      <c r="A16" s="22" t="s">
        <v>20</v>
      </c>
      <c r="B16" s="59" t="s">
        <v>10</v>
      </c>
      <c r="C16" s="25" t="n">
        <v>41693.53</v>
      </c>
      <c r="D16" s="25" t="n">
        <v>31317.31</v>
      </c>
      <c r="E16" s="60" t="n">
        <f aca="false">C16-D16</f>
        <v>10376.22</v>
      </c>
      <c r="F16" s="61" t="n">
        <f aca="false">IF(D16&lt;&gt;0,(C16-D16)/ABS(D16),"-")</f>
        <v>0.331325391612498</v>
      </c>
    </row>
    <row r="17" customFormat="false" ht="15" hidden="false" customHeight="false" outlineLevel="0" collapsed="false">
      <c r="A17" s="20" t="s">
        <v>21</v>
      </c>
      <c r="B17" s="56" t="s">
        <v>10</v>
      </c>
      <c r="C17" s="28" t="n">
        <v>64056.09</v>
      </c>
      <c r="D17" s="28" t="n">
        <v>51012.37</v>
      </c>
      <c r="E17" s="57" t="n">
        <f aca="false">C17-D17</f>
        <v>13043.72</v>
      </c>
      <c r="F17" s="58" t="n">
        <f aca="false">IF(D17&lt;&gt;0,(C17-D17)/ABS(D17),"-")</f>
        <v>0.255697196581927</v>
      </c>
    </row>
    <row r="18" customFormat="false" ht="15" hidden="false" customHeight="false" outlineLevel="0" collapsed="false">
      <c r="A18" s="22" t="s">
        <v>22</v>
      </c>
      <c r="B18" s="59" t="s">
        <v>10</v>
      </c>
      <c r="C18" s="25" t="n">
        <v>7173.81</v>
      </c>
      <c r="D18" s="25" t="n">
        <v>29597.73</v>
      </c>
      <c r="E18" s="60" t="n">
        <f aca="false">C18-D18</f>
        <v>-22423.92</v>
      </c>
      <c r="F18" s="61" t="n">
        <f aca="false">IF(D18&lt;&gt;0,(C18-D18)/ABS(D18),"-")</f>
        <v>-0.757622966355866</v>
      </c>
    </row>
    <row r="19" customFormat="false" ht="15" hidden="false" customHeight="false" outlineLevel="0" collapsed="false">
      <c r="A19" s="20" t="s">
        <v>23</v>
      </c>
      <c r="B19" s="56" t="s">
        <v>10</v>
      </c>
      <c r="C19" s="28" t="n">
        <v>61789.89</v>
      </c>
      <c r="D19" s="28" t="n">
        <v>47275.9</v>
      </c>
      <c r="E19" s="57" t="n">
        <f aca="false">C19-D19</f>
        <v>14513.99</v>
      </c>
      <c r="F19" s="58" t="n">
        <f aca="false">IF(D19&lt;&gt;0,(C19-D19)/ABS(D19),"-")</f>
        <v>0.307006106705531</v>
      </c>
    </row>
    <row r="20" customFormat="false" ht="15" hidden="false" customHeight="false" outlineLevel="0" collapsed="false">
      <c r="A20" s="6" t="s">
        <v>24</v>
      </c>
      <c r="B20" s="59" t="s">
        <v>10</v>
      </c>
      <c r="C20" s="25" t="n">
        <v>631866.73</v>
      </c>
      <c r="D20" s="25" t="n">
        <v>561946.04</v>
      </c>
      <c r="E20" s="60" t="n">
        <f aca="false">C20-D20</f>
        <v>69920.6899999999</v>
      </c>
      <c r="F20" s="61" t="n">
        <f aca="false">IF(D20&lt;&gt;0,(C20-D20)/ABS(D20),"-")</f>
        <v>0.124425985811734</v>
      </c>
    </row>
    <row r="21" customFormat="false" ht="15" hidden="false" customHeight="false" outlineLevel="0" collapsed="false">
      <c r="A21" s="6" t="s">
        <v>168</v>
      </c>
      <c r="B21" s="56" t="s">
        <v>10</v>
      </c>
      <c r="C21" s="28" t="n">
        <v>81674.85</v>
      </c>
      <c r="D21" s="28" t="n">
        <v>-3167.16</v>
      </c>
      <c r="E21" s="57" t="n">
        <f aca="false">C21-D21</f>
        <v>84842.01</v>
      </c>
      <c r="F21" s="58" t="n">
        <f aca="false">IF(D21&lt;&gt;0,(C21-D21)/ABS(D21),"-")</f>
        <v>26.7880403894972</v>
      </c>
    </row>
    <row r="23" customFormat="false" ht="15" hidden="false" customHeight="false" outlineLevel="0" collapsed="false">
      <c r="A23" s="55" t="s">
        <v>169</v>
      </c>
      <c r="B23" s="55"/>
      <c r="C23" s="55"/>
      <c r="D23" s="55"/>
      <c r="E23" s="55"/>
      <c r="F23" s="55"/>
    </row>
    <row r="24" customFormat="false" ht="15" hidden="false" customHeight="false" outlineLevel="0" collapsed="false">
      <c r="A24" s="20" t="s">
        <v>27</v>
      </c>
      <c r="B24" s="56" t="s">
        <v>28</v>
      </c>
      <c r="C24" s="28" t="n">
        <v>139281</v>
      </c>
      <c r="D24" s="28" t="n">
        <v>114359</v>
      </c>
      <c r="E24" s="57" t="n">
        <f aca="false">C24-D24</f>
        <v>24922</v>
      </c>
      <c r="F24" s="58" t="n">
        <f aca="false">IF(D24&lt;&gt;0,(C24-D24)/ABS(D24),"-")</f>
        <v>0.217927753827858</v>
      </c>
    </row>
    <row r="25" customFormat="false" ht="15" hidden="false" customHeight="false" outlineLevel="0" collapsed="false">
      <c r="A25" s="22" t="s">
        <v>29</v>
      </c>
      <c r="B25" s="59" t="s">
        <v>28</v>
      </c>
      <c r="C25" s="25" t="n">
        <v>119703</v>
      </c>
      <c r="D25" s="25" t="n">
        <v>93889</v>
      </c>
      <c r="E25" s="60" t="n">
        <f aca="false">C25-D25</f>
        <v>25814</v>
      </c>
      <c r="F25" s="61" t="n">
        <f aca="false">IF(D25&lt;&gt;0,(C25-D25)/ABS(D25),"-")</f>
        <v>0.274941686459543</v>
      </c>
    </row>
    <row r="26" customFormat="false" ht="15" hidden="false" customHeight="false" outlineLevel="0" collapsed="false">
      <c r="A26" s="20" t="s">
        <v>30</v>
      </c>
      <c r="B26" s="56" t="s">
        <v>31</v>
      </c>
      <c r="C26" s="35" t="n">
        <v>0.859</v>
      </c>
      <c r="D26" s="35" t="n">
        <v>0.821</v>
      </c>
      <c r="E26" s="58" t="n">
        <f aca="false">C26-D26</f>
        <v>0.038</v>
      </c>
      <c r="F26" s="58" t="n">
        <f aca="false">IF(D26&lt;&gt;0,(C26-D26)/ABS(D26),"-")</f>
        <v>0.046285018270402</v>
      </c>
    </row>
    <row r="27" customFormat="false" ht="15" hidden="false" customHeight="false" outlineLevel="0" collapsed="false">
      <c r="A27" s="22" t="s">
        <v>33</v>
      </c>
      <c r="B27" s="59" t="s">
        <v>170</v>
      </c>
      <c r="C27" s="25" t="n">
        <v>106728</v>
      </c>
      <c r="D27" s="25" t="n">
        <v>85591</v>
      </c>
      <c r="E27" s="60" t="n">
        <f aca="false">C27-D27</f>
        <v>21137</v>
      </c>
      <c r="F27" s="61" t="n">
        <f aca="false">IF(D27&lt;&gt;0,(C27-D27)/ABS(D27),"-")</f>
        <v>0.24695353483427</v>
      </c>
    </row>
    <row r="28" customFormat="false" ht="15" hidden="false" customHeight="false" outlineLevel="0" collapsed="false">
      <c r="A28" s="20" t="s">
        <v>171</v>
      </c>
      <c r="B28" s="56" t="s">
        <v>172</v>
      </c>
      <c r="C28" s="28" t="n">
        <v>367</v>
      </c>
      <c r="D28" s="28" t="n">
        <v>304</v>
      </c>
      <c r="E28" s="57" t="n">
        <f aca="false">C28-D28</f>
        <v>63</v>
      </c>
      <c r="F28" s="58" t="n">
        <f aca="false">IF(D28&lt;&gt;0,(C28-D28)/ABS(D28),"-")</f>
        <v>0.207236842105263</v>
      </c>
    </row>
    <row r="29" customFormat="false" ht="15" hidden="false" customHeight="false" outlineLevel="0" collapsed="false">
      <c r="A29" s="22" t="s">
        <v>173</v>
      </c>
      <c r="B29" s="59" t="s">
        <v>174</v>
      </c>
      <c r="C29" s="25" t="n">
        <v>4.96</v>
      </c>
      <c r="D29" s="25" t="n">
        <v>4.8</v>
      </c>
      <c r="E29" s="60" t="n">
        <f aca="false">C29-D29</f>
        <v>0.16</v>
      </c>
      <c r="F29" s="61" t="n">
        <f aca="false">IF(D29&lt;&gt;0,(C29-D29)/ABS(D29),"-")</f>
        <v>0.0333333333333334</v>
      </c>
    </row>
    <row r="30" customFormat="false" ht="15" hidden="false" customHeight="false" outlineLevel="0" collapsed="false">
      <c r="A30" s="20" t="s">
        <v>175</v>
      </c>
      <c r="B30" s="56" t="s">
        <v>174</v>
      </c>
      <c r="C30" s="28" t="n">
        <v>4.38</v>
      </c>
      <c r="D30" s="28" t="n">
        <v>4.83</v>
      </c>
      <c r="E30" s="57" t="n">
        <f aca="false">C30-D30</f>
        <v>-0.45</v>
      </c>
      <c r="F30" s="58" t="n">
        <f aca="false">IF(D30&lt;&gt;0,(C30-D30)/ABS(D30),"-")</f>
        <v>-0.0931677018633541</v>
      </c>
    </row>
    <row r="31" customFormat="false" ht="15" hidden="false" customHeight="false" outlineLevel="0" collapsed="false">
      <c r="A31" s="22" t="s">
        <v>176</v>
      </c>
      <c r="B31" s="59" t="s">
        <v>174</v>
      </c>
      <c r="C31" s="25" t="n">
        <v>2.66</v>
      </c>
      <c r="D31" s="25" t="n">
        <v>2.76</v>
      </c>
      <c r="E31" s="60" t="n">
        <f aca="false">C31-D31</f>
        <v>-0.0999999999999996</v>
      </c>
      <c r="F31" s="61" t="n">
        <f aca="false">IF(D31&lt;&gt;0,(C31-D31)/ABS(D31),"-")</f>
        <v>-0.0362318840579709</v>
      </c>
    </row>
    <row r="32" customFormat="false" ht="15" hidden="false" customHeight="false" outlineLevel="0" collapsed="false">
      <c r="A32" s="20" t="s">
        <v>177</v>
      </c>
      <c r="B32" s="56" t="s">
        <v>31</v>
      </c>
      <c r="C32" s="35" t="n">
        <v>0.255</v>
      </c>
      <c r="D32" s="35" t="n">
        <v>0.134</v>
      </c>
      <c r="E32" s="58" t="n">
        <f aca="false">C32-D32</f>
        <v>0.121</v>
      </c>
      <c r="F32" s="58" t="n">
        <f aca="false">IF(D32&lt;&gt;0,(C32-D32)/ABS(D32),"-")</f>
        <v>0.902985074626866</v>
      </c>
    </row>
    <row r="33" customFormat="false" ht="15" hidden="false" customHeight="false" outlineLevel="0" collapsed="false">
      <c r="A33" s="22" t="s">
        <v>178</v>
      </c>
      <c r="B33" s="59" t="s">
        <v>31</v>
      </c>
      <c r="C33" s="30" t="n">
        <v>0.119</v>
      </c>
      <c r="D33" s="30" t="n">
        <v>-0.006</v>
      </c>
      <c r="E33" s="61" t="n">
        <f aca="false">C33-D33</f>
        <v>0.125</v>
      </c>
      <c r="F33" s="61" t="n">
        <f aca="false">IF(D33&lt;&gt;0,(C33-D33)/ABS(D33),"-")</f>
        <v>20.8333333333333</v>
      </c>
    </row>
    <row r="35" customFormat="false" ht="15" hidden="false" customHeight="false" outlineLevel="0" collapsed="false">
      <c r="A35" s="3" t="s">
        <v>179</v>
      </c>
      <c r="B35" s="3"/>
      <c r="C35" s="3"/>
      <c r="D35" s="3"/>
      <c r="E35" s="3"/>
      <c r="F35" s="3"/>
    </row>
  </sheetData>
  <mergeCells count="5">
    <mergeCell ref="A1:F1"/>
    <mergeCell ref="A2:F2"/>
    <mergeCell ref="A4:F4"/>
    <mergeCell ref="A23:F23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2026-03-28T09:59:56Z</dcterms:created>
  <dc:creator>openpyxl</dc:creator>
  <dc:description/>
  <dc:language>en-US</dc:language>
  <cp:lastModifiedBy/>
  <dcterms:modified xsi:type="dcterms:W3CDTF">2026-03-28T14:24:55Z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